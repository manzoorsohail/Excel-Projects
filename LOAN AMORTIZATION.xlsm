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ZOOR\Downloads\"/>
    </mc:Choice>
  </mc:AlternateContent>
  <xr:revisionPtr revIDLastSave="0" documentId="13_ncr:1_{DA816394-FE73-47F7-98D5-EA8F11243DB7}" xr6:coauthVersionLast="47" xr6:coauthVersionMax="47" xr10:uidLastSave="{00000000-0000-0000-0000-000000000000}"/>
  <bookViews>
    <workbookView xWindow="-108" yWindow="-108" windowWidth="23256" windowHeight="12456" tabRatio="639" xr2:uid="{CDE10907-F8F2-44DE-8E53-6BDCAFACD050}"/>
  </bookViews>
  <sheets>
    <sheet name="DASHBOARD" sheetId="1" r:id="rId1"/>
    <sheet name="Flat Interest Rate" sheetId="7" r:id="rId2"/>
    <sheet name="Reducing Interest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" l="1"/>
  <c r="J16" i="1"/>
  <c r="I16" i="1" a="1"/>
  <c r="I16" i="1" s="1"/>
  <c r="C10" i="1"/>
  <c r="K16" i="1" s="1"/>
  <c r="D8" i="7"/>
  <c r="O15" i="1"/>
  <c r="G15" i="1"/>
  <c r="D10" i="7"/>
  <c r="D14" i="7" s="1"/>
  <c r="B21" i="7" s="1" a="1"/>
  <c r="D11" i="7"/>
  <c r="D12" i="7" s="1"/>
  <c r="C21" i="7" s="1"/>
  <c r="D9" i="7"/>
  <c r="H8" i="7" s="1"/>
  <c r="D11" i="4"/>
  <c r="D12" i="4" s="1"/>
  <c r="D10" i="4"/>
  <c r="D9" i="4"/>
  <c r="D8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H11" i="7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H93" i="7"/>
  <c r="H94" i="7"/>
  <c r="H95" i="7"/>
  <c r="F96" i="7" s="1"/>
  <c r="H96" i="7"/>
  <c r="F97" i="7" s="1"/>
  <c r="H97" i="7"/>
  <c r="F98" i="7" s="1"/>
  <c r="H98" i="7"/>
  <c r="F99" i="7" s="1"/>
  <c r="H99" i="7"/>
  <c r="H100" i="7"/>
  <c r="H101" i="7"/>
  <c r="C102" i="7" s="1"/>
  <c r="H102" i="7"/>
  <c r="H103" i="7"/>
  <c r="H104" i="7"/>
  <c r="H105" i="7"/>
  <c r="F106" i="7" s="1"/>
  <c r="H106" i="7"/>
  <c r="F107" i="7" s="1"/>
  <c r="H107" i="7"/>
  <c r="F108" i="7" s="1"/>
  <c r="H108" i="7"/>
  <c r="F109" i="7" s="1"/>
  <c r="H109" i="7"/>
  <c r="H110" i="7"/>
  <c r="H111" i="7"/>
  <c r="C112" i="7" s="1"/>
  <c r="H112" i="7"/>
  <c r="H113" i="7"/>
  <c r="C114" i="7" s="1"/>
  <c r="H114" i="7"/>
  <c r="F115" i="7" s="1"/>
  <c r="H115" i="7"/>
  <c r="H116" i="7"/>
  <c r="H117" i="7"/>
  <c r="C118" i="7" s="1"/>
  <c r="H118" i="7"/>
  <c r="F119" i="7" s="1"/>
  <c r="H119" i="7"/>
  <c r="C120" i="7" s="1"/>
  <c r="H120" i="7"/>
  <c r="H121" i="7"/>
  <c r="F122" i="7" s="1"/>
  <c r="H122" i="7"/>
  <c r="F123" i="7" s="1"/>
  <c r="H123" i="7"/>
  <c r="H124" i="7"/>
  <c r="H125" i="7"/>
  <c r="F126" i="7" s="1"/>
  <c r="H126" i="7"/>
  <c r="H127" i="7"/>
  <c r="F128" i="7" s="1"/>
  <c r="H128" i="7"/>
  <c r="F129" i="7" s="1"/>
  <c r="H129" i="7"/>
  <c r="F130" i="7" s="1"/>
  <c r="H130" i="7"/>
  <c r="F131" i="7" s="1"/>
  <c r="H131" i="7"/>
  <c r="H132" i="7"/>
  <c r="H133" i="7"/>
  <c r="H134" i="7"/>
  <c r="H135" i="7"/>
  <c r="H136" i="7"/>
  <c r="H137" i="7"/>
  <c r="F138" i="7" s="1"/>
  <c r="H138" i="7"/>
  <c r="F139" i="7" s="1"/>
  <c r="H139" i="7"/>
  <c r="F140" i="7" s="1"/>
  <c r="H140" i="7"/>
  <c r="F141" i="7" s="1"/>
  <c r="H141" i="7"/>
  <c r="F142" i="7" s="1"/>
  <c r="H142" i="7"/>
  <c r="H143" i="7"/>
  <c r="H144" i="7"/>
  <c r="H145" i="7"/>
  <c r="F146" i="7" s="1"/>
  <c r="H146" i="7"/>
  <c r="F147" i="7" s="1"/>
  <c r="H147" i="7"/>
  <c r="H148" i="7"/>
  <c r="H149" i="7"/>
  <c r="F150" i="7" s="1"/>
  <c r="H150" i="7"/>
  <c r="F151" i="7" s="1"/>
  <c r="H151" i="7"/>
  <c r="C152" i="7" s="1"/>
  <c r="H152" i="7"/>
  <c r="H153" i="7"/>
  <c r="F154" i="7" s="1"/>
  <c r="H154" i="7"/>
  <c r="F155" i="7" s="1"/>
  <c r="H155" i="7"/>
  <c r="H156" i="7"/>
  <c r="H157" i="7"/>
  <c r="F158" i="7" s="1"/>
  <c r="H158" i="7"/>
  <c r="H159" i="7"/>
  <c r="F160" i="7" s="1"/>
  <c r="H160" i="7"/>
  <c r="F161" i="7" s="1"/>
  <c r="H161" i="7"/>
  <c r="F162" i="7" s="1"/>
  <c r="H162" i="7"/>
  <c r="F163" i="7" s="1"/>
  <c r="H163" i="7"/>
  <c r="H164" i="7"/>
  <c r="H165" i="7"/>
  <c r="C166" i="7" s="1"/>
  <c r="H166" i="7"/>
  <c r="H167" i="7"/>
  <c r="H168" i="7"/>
  <c r="C169" i="7" s="1"/>
  <c r="H169" i="7"/>
  <c r="C170" i="7" s="1"/>
  <c r="H170" i="7"/>
  <c r="F171" i="7" s="1"/>
  <c r="H171" i="7"/>
  <c r="F172" i="7" s="1"/>
  <c r="H172" i="7"/>
  <c r="F173" i="7" s="1"/>
  <c r="H173" i="7"/>
  <c r="H174" i="7"/>
  <c r="H175" i="7"/>
  <c r="H176" i="7"/>
  <c r="H177" i="7"/>
  <c r="F178" i="7" s="1"/>
  <c r="H178" i="7"/>
  <c r="F179" i="7" s="1"/>
  <c r="H179" i="7"/>
  <c r="H180" i="7"/>
  <c r="H181" i="7"/>
  <c r="C182" i="7" s="1"/>
  <c r="H182" i="7"/>
  <c r="F183" i="7" s="1"/>
  <c r="H183" i="7"/>
  <c r="C184" i="7" s="1"/>
  <c r="H184" i="7"/>
  <c r="C185" i="7" s="1"/>
  <c r="H185" i="7"/>
  <c r="F186" i="7" s="1"/>
  <c r="H186" i="7"/>
  <c r="F187" i="7" s="1"/>
  <c r="H187" i="7"/>
  <c r="H188" i="7"/>
  <c r="H189" i="7"/>
  <c r="H190" i="7"/>
  <c r="H191" i="7"/>
  <c r="F192" i="7" s="1"/>
  <c r="H192" i="7"/>
  <c r="F193" i="7" s="1"/>
  <c r="H193" i="7"/>
  <c r="F194" i="7" s="1"/>
  <c r="H194" i="7"/>
  <c r="F195" i="7" s="1"/>
  <c r="H195" i="7"/>
  <c r="H196" i="7"/>
  <c r="H197" i="7"/>
  <c r="F198" i="7" s="1"/>
  <c r="H198" i="7"/>
  <c r="H199" i="7"/>
  <c r="H200" i="7"/>
  <c r="H201" i="7"/>
  <c r="F202" i="7" s="1"/>
  <c r="H202" i="7"/>
  <c r="F203" i="7" s="1"/>
  <c r="H203" i="7"/>
  <c r="F204" i="7" s="1"/>
  <c r="H204" i="7"/>
  <c r="F205" i="7" s="1"/>
  <c r="H205" i="7"/>
  <c r="H206" i="7"/>
  <c r="H207" i="7"/>
  <c r="H208" i="7"/>
  <c r="H209" i="7"/>
  <c r="F210" i="7" s="1"/>
  <c r="H210" i="7"/>
  <c r="F211" i="7" s="1"/>
  <c r="H211" i="7"/>
  <c r="F212" i="7" s="1"/>
  <c r="H212" i="7"/>
  <c r="H213" i="7"/>
  <c r="F214" i="7" s="1"/>
  <c r="H214" i="7"/>
  <c r="F215" i="7" s="1"/>
  <c r="H215" i="7"/>
  <c r="H216" i="7"/>
  <c r="H217" i="7"/>
  <c r="C218" i="7" s="1"/>
  <c r="H218" i="7"/>
  <c r="F219" i="7" s="1"/>
  <c r="H219" i="7"/>
  <c r="H220" i="7"/>
  <c r="H221" i="7"/>
  <c r="F222" i="7" s="1"/>
  <c r="H222" i="7"/>
  <c r="H223" i="7"/>
  <c r="F224" i="7" s="1"/>
  <c r="H224" i="7"/>
  <c r="F225" i="7" s="1"/>
  <c r="H225" i="7"/>
  <c r="F226" i="7" s="1"/>
  <c r="H226" i="7"/>
  <c r="F227" i="7" s="1"/>
  <c r="H227" i="7"/>
  <c r="F228" i="7" s="1"/>
  <c r="H228" i="7"/>
  <c r="H229" i="7"/>
  <c r="H230" i="7"/>
  <c r="H231" i="7"/>
  <c r="H232" i="7"/>
  <c r="C233" i="7" s="1"/>
  <c r="H233" i="7"/>
  <c r="F234" i="7" s="1"/>
  <c r="H234" i="7"/>
  <c r="F235" i="7" s="1"/>
  <c r="H235" i="7"/>
  <c r="F236" i="7" s="1"/>
  <c r="H236" i="7"/>
  <c r="F237" i="7" s="1"/>
  <c r="H237" i="7"/>
  <c r="F238" i="7" s="1"/>
  <c r="H238" i="7"/>
  <c r="H239" i="7"/>
  <c r="H240" i="7"/>
  <c r="C241" i="7" s="1"/>
  <c r="H241" i="7"/>
  <c r="F242" i="7" s="1"/>
  <c r="H242" i="7"/>
  <c r="F243" i="7" s="1"/>
  <c r="H243" i="7"/>
  <c r="H244" i="7"/>
  <c r="H245" i="7"/>
  <c r="H246" i="7"/>
  <c r="F247" i="7" s="1"/>
  <c r="H247" i="7"/>
  <c r="C248" i="7" s="1"/>
  <c r="H248" i="7"/>
  <c r="C249" i="7" s="1"/>
  <c r="H249" i="7"/>
  <c r="F250" i="7" s="1"/>
  <c r="H250" i="7"/>
  <c r="F251" i="7" s="1"/>
  <c r="H251" i="7"/>
  <c r="H252" i="7"/>
  <c r="H253" i="7"/>
  <c r="C254" i="7" s="1"/>
  <c r="H254" i="7"/>
  <c r="H255" i="7"/>
  <c r="F256" i="7" s="1"/>
  <c r="H256" i="7"/>
  <c r="F257" i="7" s="1"/>
  <c r="H257" i="7"/>
  <c r="C258" i="7" s="1"/>
  <c r="H258" i="7"/>
  <c r="F259" i="7" s="1"/>
  <c r="H259" i="7"/>
  <c r="H260" i="7"/>
  <c r="H261" i="7"/>
  <c r="F262" i="7" s="1"/>
  <c r="H262" i="7"/>
  <c r="H263" i="7"/>
  <c r="C264" i="7" s="1"/>
  <c r="H264" i="7"/>
  <c r="H265" i="7"/>
  <c r="F266" i="7" s="1"/>
  <c r="H266" i="7"/>
  <c r="F267" i="7" s="1"/>
  <c r="H267" i="7"/>
  <c r="F268" i="7" s="1"/>
  <c r="H268" i="7"/>
  <c r="F269" i="7" s="1"/>
  <c r="H269" i="7"/>
  <c r="F270" i="7" s="1"/>
  <c r="H270" i="7"/>
  <c r="H271" i="7"/>
  <c r="C272" i="7" s="1"/>
  <c r="H272" i="7"/>
  <c r="C273" i="7" s="1"/>
  <c r="H273" i="7"/>
  <c r="F274" i="7" s="1"/>
  <c r="H274" i="7"/>
  <c r="F275" i="7" s="1"/>
  <c r="H275" i="7"/>
  <c r="H276" i="7"/>
  <c r="H277" i="7"/>
  <c r="H278" i="7"/>
  <c r="F279" i="7" s="1"/>
  <c r="H279" i="7"/>
  <c r="H280" i="7"/>
  <c r="H281" i="7"/>
  <c r="F282" i="7" s="1"/>
  <c r="H282" i="7"/>
  <c r="F283" i="7" s="1"/>
  <c r="H283" i="7"/>
  <c r="H284" i="7"/>
  <c r="H285" i="7"/>
  <c r="F286" i="7" s="1"/>
  <c r="H286" i="7"/>
  <c r="H287" i="7"/>
  <c r="F288" i="7" s="1"/>
  <c r="H288" i="7"/>
  <c r="F289" i="7" s="1"/>
  <c r="H289" i="7"/>
  <c r="F290" i="7" s="1"/>
  <c r="H290" i="7"/>
  <c r="F291" i="7" s="1"/>
  <c r="H291" i="7"/>
  <c r="H292" i="7"/>
  <c r="H293" i="7"/>
  <c r="H294" i="7"/>
  <c r="H295" i="7"/>
  <c r="H296" i="7"/>
  <c r="H297" i="7"/>
  <c r="F298" i="7" s="1"/>
  <c r="H298" i="7"/>
  <c r="F299" i="7" s="1"/>
  <c r="H299" i="7"/>
  <c r="F300" i="7" s="1"/>
  <c r="H300" i="7"/>
  <c r="F301" i="7" s="1"/>
  <c r="H301" i="7"/>
  <c r="F302" i="7" s="1"/>
  <c r="H302" i="7"/>
  <c r="H303" i="7"/>
  <c r="H304" i="7"/>
  <c r="H305" i="7"/>
  <c r="F306" i="7" s="1"/>
  <c r="H306" i="7"/>
  <c r="F307" i="7" s="1"/>
  <c r="H307" i="7"/>
  <c r="F308" i="7" s="1"/>
  <c r="H308" i="7"/>
  <c r="H309" i="7"/>
  <c r="F310" i="7" s="1"/>
  <c r="H310" i="7"/>
  <c r="F311" i="7" s="1"/>
  <c r="H311" i="7"/>
  <c r="C312" i="7" s="1"/>
  <c r="H312" i="7"/>
  <c r="C313" i="7" s="1"/>
  <c r="H313" i="7"/>
  <c r="F314" i="7" s="1"/>
  <c r="H314" i="7"/>
  <c r="F315" i="7" s="1"/>
  <c r="H315" i="7"/>
  <c r="H316" i="7"/>
  <c r="H317" i="7"/>
  <c r="F318" i="7" s="1"/>
  <c r="H318" i="7"/>
  <c r="H319" i="7"/>
  <c r="F320" i="7" s="1"/>
  <c r="H320" i="7"/>
  <c r="F321" i="7" s="1"/>
  <c r="H321" i="7"/>
  <c r="F322" i="7" s="1"/>
  <c r="H322" i="7"/>
  <c r="F323" i="7" s="1"/>
  <c r="H323" i="7"/>
  <c r="H324" i="7"/>
  <c r="H325" i="7"/>
  <c r="H326" i="7"/>
  <c r="H327" i="7"/>
  <c r="H328" i="7"/>
  <c r="F329" i="7" s="1"/>
  <c r="H329" i="7"/>
  <c r="F330" i="7" s="1"/>
  <c r="H330" i="7"/>
  <c r="F331" i="7" s="1"/>
  <c r="H331" i="7"/>
  <c r="F332" i="7" s="1"/>
  <c r="H332" i="7"/>
  <c r="F333" i="7" s="1"/>
  <c r="H333" i="7"/>
  <c r="F334" i="7" s="1"/>
  <c r="H334" i="7"/>
  <c r="H335" i="7"/>
  <c r="H336" i="7"/>
  <c r="H337" i="7"/>
  <c r="F338" i="7" s="1"/>
  <c r="H338" i="7"/>
  <c r="H339" i="7"/>
  <c r="H340" i="7"/>
  <c r="F341" i="7" s="1"/>
  <c r="H341" i="7"/>
  <c r="H342" i="7"/>
  <c r="H343" i="7"/>
  <c r="C344" i="7" s="1"/>
  <c r="H344" i="7"/>
  <c r="C345" i="7" s="1"/>
  <c r="H345" i="7"/>
  <c r="F346" i="7" s="1"/>
  <c r="H346" i="7"/>
  <c r="H347" i="7"/>
  <c r="H348" i="7"/>
  <c r="H349" i="7"/>
  <c r="F350" i="7" s="1"/>
  <c r="H350" i="7"/>
  <c r="F351" i="7" s="1"/>
  <c r="H351" i="7"/>
  <c r="H352" i="7"/>
  <c r="H353" i="7"/>
  <c r="F354" i="7" s="1"/>
  <c r="H354" i="7"/>
  <c r="H355" i="7"/>
  <c r="H356" i="7"/>
  <c r="F357" i="7" s="1"/>
  <c r="H357" i="7"/>
  <c r="H358" i="7"/>
  <c r="F359" i="7" s="1"/>
  <c r="H359" i="7"/>
  <c r="F360" i="7" s="1"/>
  <c r="H360" i="7"/>
  <c r="H361" i="7"/>
  <c r="F362" i="7" s="1"/>
  <c r="H362" i="7"/>
  <c r="H363" i="7"/>
  <c r="H364" i="7"/>
  <c r="H365" i="7"/>
  <c r="C366" i="7" s="1"/>
  <c r="H366" i="7"/>
  <c r="H367" i="7"/>
  <c r="F368" i="7" s="1"/>
  <c r="H368" i="7"/>
  <c r="F369" i="7" s="1"/>
  <c r="H369" i="7"/>
  <c r="F370" i="7" s="1"/>
  <c r="H370" i="7"/>
  <c r="F371" i="7" s="1"/>
  <c r="H371" i="7"/>
  <c r="H372" i="7"/>
  <c r="H373" i="7"/>
  <c r="C374" i="7" s="1"/>
  <c r="H374" i="7"/>
  <c r="H375" i="7"/>
  <c r="H376" i="7"/>
  <c r="F377" i="7" s="1"/>
  <c r="H377" i="7"/>
  <c r="F378" i="7" s="1"/>
  <c r="H378" i="7"/>
  <c r="H379" i="7"/>
  <c r="H380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H20" i="7"/>
  <c r="J17" i="1" l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A16" i="1" a="1"/>
  <c r="C16" i="1"/>
  <c r="E16" i="1"/>
  <c r="M16" i="1"/>
  <c r="F102" i="7"/>
  <c r="F21" i="7"/>
  <c r="C174" i="7"/>
  <c r="F206" i="7"/>
  <c r="C270" i="7"/>
  <c r="F366" i="7"/>
  <c r="F246" i="7"/>
  <c r="F174" i="7"/>
  <c r="C294" i="7"/>
  <c r="C358" i="7"/>
  <c r="F278" i="7"/>
  <c r="C150" i="7"/>
  <c r="F182" i="7"/>
  <c r="C246" i="7"/>
  <c r="C342" i="7"/>
  <c r="C222" i="7"/>
  <c r="F166" i="7"/>
  <c r="C318" i="7"/>
  <c r="C198" i="7"/>
  <c r="C110" i="7"/>
  <c r="C278" i="7"/>
  <c r="F294" i="7"/>
  <c r="F118" i="7"/>
  <c r="F325" i="7"/>
  <c r="F189" i="7"/>
  <c r="F188" i="7"/>
  <c r="F373" i="7"/>
  <c r="F133" i="7"/>
  <c r="F372" i="7"/>
  <c r="F340" i="7"/>
  <c r="F132" i="7"/>
  <c r="F339" i="7"/>
  <c r="F125" i="7"/>
  <c r="F244" i="7"/>
  <c r="F165" i="7"/>
  <c r="F361" i="7"/>
  <c r="F164" i="7"/>
  <c r="C286" i="7"/>
  <c r="C230" i="7"/>
  <c r="C126" i="7"/>
  <c r="F358" i="7"/>
  <c r="F326" i="7"/>
  <c r="F285" i="7"/>
  <c r="F230" i="7"/>
  <c r="F365" i="7"/>
  <c r="C357" i="7"/>
  <c r="F349" i="7"/>
  <c r="F317" i="7"/>
  <c r="F309" i="7"/>
  <c r="F293" i="7"/>
  <c r="F277" i="7"/>
  <c r="F261" i="7"/>
  <c r="F253" i="7"/>
  <c r="C253" i="7"/>
  <c r="F229" i="7"/>
  <c r="C229" i="7"/>
  <c r="F221" i="7"/>
  <c r="F213" i="7"/>
  <c r="F197" i="7"/>
  <c r="F181" i="7"/>
  <c r="F157" i="7"/>
  <c r="F117" i="7"/>
  <c r="F101" i="7"/>
  <c r="C133" i="7"/>
  <c r="F149" i="7"/>
  <c r="F380" i="7"/>
  <c r="C380" i="7"/>
  <c r="F364" i="7"/>
  <c r="C356" i="7"/>
  <c r="F356" i="7"/>
  <c r="F348" i="7"/>
  <c r="F324" i="7"/>
  <c r="C324" i="7"/>
  <c r="F316" i="7"/>
  <c r="C308" i="7"/>
  <c r="F292" i="7"/>
  <c r="F284" i="7"/>
  <c r="F276" i="7"/>
  <c r="F260" i="7"/>
  <c r="F252" i="7"/>
  <c r="C252" i="7"/>
  <c r="C228" i="7"/>
  <c r="F220" i="7"/>
  <c r="C212" i="7"/>
  <c r="F196" i="7"/>
  <c r="F180" i="7"/>
  <c r="F156" i="7"/>
  <c r="C148" i="7"/>
  <c r="F124" i="7"/>
  <c r="F116" i="7"/>
  <c r="F100" i="7"/>
  <c r="C132" i="7"/>
  <c r="F148" i="7"/>
  <c r="F245" i="7"/>
  <c r="F337" i="7"/>
  <c r="C94" i="7"/>
  <c r="F374" i="7"/>
  <c r="F342" i="7"/>
  <c r="F134" i="7"/>
  <c r="F110" i="7"/>
  <c r="F94" i="7"/>
  <c r="C329" i="7"/>
  <c r="F305" i="7"/>
  <c r="F281" i="7"/>
  <c r="C281" i="7"/>
  <c r="F265" i="7"/>
  <c r="F249" i="7"/>
  <c r="F209" i="7"/>
  <c r="C137" i="7"/>
  <c r="F137" i="7"/>
  <c r="F121" i="7"/>
  <c r="F105" i="7"/>
  <c r="C339" i="7"/>
  <c r="F376" i="7"/>
  <c r="F352" i="7"/>
  <c r="C352" i="7"/>
  <c r="F344" i="7"/>
  <c r="F336" i="7"/>
  <c r="F328" i="7"/>
  <c r="F312" i="7"/>
  <c r="F304" i="7"/>
  <c r="F296" i="7"/>
  <c r="C280" i="7"/>
  <c r="F280" i="7"/>
  <c r="F272" i="7"/>
  <c r="F248" i="7"/>
  <c r="F240" i="7"/>
  <c r="C240" i="7"/>
  <c r="F232" i="7"/>
  <c r="F216" i="7"/>
  <c r="F208" i="7"/>
  <c r="F200" i="7"/>
  <c r="F184" i="7"/>
  <c r="F176" i="7"/>
  <c r="F168" i="7"/>
  <c r="F152" i="7"/>
  <c r="F144" i="7"/>
  <c r="F136" i="7"/>
  <c r="F120" i="7"/>
  <c r="F112" i="7"/>
  <c r="F104" i="7"/>
  <c r="C336" i="7"/>
  <c r="C305" i="7"/>
  <c r="C209" i="7"/>
  <c r="C144" i="7"/>
  <c r="F355" i="7"/>
  <c r="F345" i="7"/>
  <c r="F170" i="7"/>
  <c r="F367" i="7"/>
  <c r="F343" i="7"/>
  <c r="F327" i="7"/>
  <c r="F319" i="7"/>
  <c r="F303" i="7"/>
  <c r="F287" i="7"/>
  <c r="F271" i="7"/>
  <c r="F231" i="7"/>
  <c r="F207" i="7"/>
  <c r="F167" i="7"/>
  <c r="F143" i="7"/>
  <c r="F135" i="7"/>
  <c r="F127" i="7"/>
  <c r="F103" i="7"/>
  <c r="C355" i="7"/>
  <c r="C328" i="7"/>
  <c r="C304" i="7"/>
  <c r="C265" i="7"/>
  <c r="C208" i="7"/>
  <c r="C136" i="7"/>
  <c r="C105" i="7"/>
  <c r="F258" i="7"/>
  <c r="C350" i="7"/>
  <c r="C334" i="7"/>
  <c r="C310" i="7"/>
  <c r="C262" i="7"/>
  <c r="C238" i="7"/>
  <c r="C214" i="7"/>
  <c r="C190" i="7"/>
  <c r="C158" i="7"/>
  <c r="C142" i="7"/>
  <c r="C353" i="7"/>
  <c r="C326" i="7"/>
  <c r="C302" i="7"/>
  <c r="C232" i="7"/>
  <c r="C206" i="7"/>
  <c r="C168" i="7"/>
  <c r="C134" i="7"/>
  <c r="C104" i="7"/>
  <c r="F363" i="7"/>
  <c r="F353" i="7"/>
  <c r="F254" i="7"/>
  <c r="F218" i="7"/>
  <c r="F190" i="7"/>
  <c r="C371" i="7"/>
  <c r="C363" i="7"/>
  <c r="F379" i="7"/>
  <c r="F347" i="7"/>
  <c r="F313" i="7"/>
  <c r="F297" i="7"/>
  <c r="F273" i="7"/>
  <c r="F241" i="7"/>
  <c r="F233" i="7"/>
  <c r="F217" i="7"/>
  <c r="F201" i="7"/>
  <c r="F185" i="7"/>
  <c r="F177" i="7"/>
  <c r="F169" i="7"/>
  <c r="F153" i="7"/>
  <c r="F145" i="7"/>
  <c r="C113" i="7"/>
  <c r="F113" i="7"/>
  <c r="C145" i="7"/>
  <c r="F264" i="7"/>
  <c r="F375" i="7"/>
  <c r="F335" i="7"/>
  <c r="F295" i="7"/>
  <c r="F263" i="7"/>
  <c r="F255" i="7"/>
  <c r="F239" i="7"/>
  <c r="F223" i="7"/>
  <c r="F199" i="7"/>
  <c r="F191" i="7"/>
  <c r="F175" i="7"/>
  <c r="F159" i="7"/>
  <c r="F111" i="7"/>
  <c r="F95" i="7"/>
  <c r="C376" i="7"/>
  <c r="C347" i="7"/>
  <c r="C200" i="7"/>
  <c r="C153" i="7"/>
  <c r="F114" i="7"/>
  <c r="C309" i="7"/>
  <c r="C213" i="7"/>
  <c r="C188" i="7"/>
  <c r="C359" i="7"/>
  <c r="C351" i="7"/>
  <c r="C311" i="7"/>
  <c r="C279" i="7"/>
  <c r="C247" i="7"/>
  <c r="C215" i="7"/>
  <c r="C183" i="7"/>
  <c r="C151" i="7"/>
  <c r="C119" i="7"/>
  <c r="C295" i="7"/>
  <c r="C175" i="7"/>
  <c r="C159" i="7"/>
  <c r="C367" i="7"/>
  <c r="C335" i="7"/>
  <c r="C319" i="7"/>
  <c r="C199" i="7"/>
  <c r="C341" i="7"/>
  <c r="C333" i="7"/>
  <c r="C301" i="7"/>
  <c r="C269" i="7"/>
  <c r="C237" i="7"/>
  <c r="C205" i="7"/>
  <c r="C173" i="7"/>
  <c r="C141" i="7"/>
  <c r="C109" i="7"/>
  <c r="C293" i="7"/>
  <c r="C239" i="7"/>
  <c r="C223" i="7"/>
  <c r="C157" i="7"/>
  <c r="C117" i="7"/>
  <c r="C103" i="7"/>
  <c r="C332" i="7"/>
  <c r="C300" i="7"/>
  <c r="C268" i="7"/>
  <c r="C236" i="7"/>
  <c r="C204" i="7"/>
  <c r="C172" i="7"/>
  <c r="C140" i="7"/>
  <c r="C108" i="7"/>
  <c r="C365" i="7"/>
  <c r="C343" i="7"/>
  <c r="C317" i="7"/>
  <c r="C292" i="7"/>
  <c r="C277" i="7"/>
  <c r="C263" i="7"/>
  <c r="C197" i="7"/>
  <c r="C156" i="7"/>
  <c r="C143" i="7"/>
  <c r="C127" i="7"/>
  <c r="C116" i="7"/>
  <c r="C375" i="7"/>
  <c r="C364" i="7"/>
  <c r="C316" i="7"/>
  <c r="C303" i="7"/>
  <c r="C287" i="7"/>
  <c r="C276" i="7"/>
  <c r="C221" i="7"/>
  <c r="C196" i="7"/>
  <c r="C181" i="7"/>
  <c r="C167" i="7"/>
  <c r="C101" i="7"/>
  <c r="C340" i="7"/>
  <c r="C327" i="7"/>
  <c r="C261" i="7"/>
  <c r="C220" i="7"/>
  <c r="C207" i="7"/>
  <c r="C191" i="7"/>
  <c r="C180" i="7"/>
  <c r="C125" i="7"/>
  <c r="C100" i="7"/>
  <c r="C377" i="7"/>
  <c r="C369" i="7"/>
  <c r="C321" i="7"/>
  <c r="C289" i="7"/>
  <c r="C257" i="7"/>
  <c r="C225" i="7"/>
  <c r="C193" i="7"/>
  <c r="C161" i="7"/>
  <c r="C129" i="7"/>
  <c r="C97" i="7"/>
  <c r="C373" i="7"/>
  <c r="C361" i="7"/>
  <c r="C349" i="7"/>
  <c r="C297" i="7"/>
  <c r="C285" i="7"/>
  <c r="C260" i="7"/>
  <c r="C245" i="7"/>
  <c r="C231" i="7"/>
  <c r="C217" i="7"/>
  <c r="C177" i="7"/>
  <c r="C165" i="7"/>
  <c r="C124" i="7"/>
  <c r="C111" i="7"/>
  <c r="C95" i="7"/>
  <c r="C368" i="7"/>
  <c r="C360" i="7"/>
  <c r="C320" i="7"/>
  <c r="C288" i="7"/>
  <c r="C256" i="7"/>
  <c r="C224" i="7"/>
  <c r="C192" i="7"/>
  <c r="C160" i="7"/>
  <c r="C128" i="7"/>
  <c r="C96" i="7"/>
  <c r="C372" i="7"/>
  <c r="C348" i="7"/>
  <c r="C337" i="7"/>
  <c r="C325" i="7"/>
  <c r="C296" i="7"/>
  <c r="C284" i="7"/>
  <c r="C271" i="7"/>
  <c r="C255" i="7"/>
  <c r="C244" i="7"/>
  <c r="C216" i="7"/>
  <c r="C201" i="7"/>
  <c r="C189" i="7"/>
  <c r="C176" i="7"/>
  <c r="C164" i="7"/>
  <c r="C149" i="7"/>
  <c r="C135" i="7"/>
  <c r="C121" i="7"/>
  <c r="C331" i="7"/>
  <c r="C323" i="7"/>
  <c r="C315" i="7"/>
  <c r="C307" i="7"/>
  <c r="C299" i="7"/>
  <c r="C291" i="7"/>
  <c r="C283" i="7"/>
  <c r="C275" i="7"/>
  <c r="C267" i="7"/>
  <c r="C259" i="7"/>
  <c r="C251" i="7"/>
  <c r="C243" i="7"/>
  <c r="C235" i="7"/>
  <c r="C227" i="7"/>
  <c r="C219" i="7"/>
  <c r="C211" i="7"/>
  <c r="C203" i="7"/>
  <c r="C195" i="7"/>
  <c r="C187" i="7"/>
  <c r="C179" i="7"/>
  <c r="C171" i="7"/>
  <c r="C163" i="7"/>
  <c r="C155" i="7"/>
  <c r="C147" i="7"/>
  <c r="C139" i="7"/>
  <c r="C131" i="7"/>
  <c r="C123" i="7"/>
  <c r="C115" i="7"/>
  <c r="C107" i="7"/>
  <c r="C99" i="7"/>
  <c r="C379" i="7"/>
  <c r="C378" i="7"/>
  <c r="C370" i="7"/>
  <c r="C362" i="7"/>
  <c r="C354" i="7"/>
  <c r="C346" i="7"/>
  <c r="C338" i="7"/>
  <c r="C330" i="7"/>
  <c r="C322" i="7"/>
  <c r="C314" i="7"/>
  <c r="C306" i="7"/>
  <c r="C298" i="7"/>
  <c r="C290" i="7"/>
  <c r="C282" i="7"/>
  <c r="C274" i="7"/>
  <c r="C266" i="7"/>
  <c r="C250" i="7"/>
  <c r="C242" i="7"/>
  <c r="C234" i="7"/>
  <c r="C226" i="7"/>
  <c r="C210" i="7"/>
  <c r="C202" i="7"/>
  <c r="C194" i="7"/>
  <c r="C186" i="7"/>
  <c r="C178" i="7"/>
  <c r="C162" i="7"/>
  <c r="C154" i="7"/>
  <c r="C146" i="7"/>
  <c r="C138" i="7"/>
  <c r="C130" i="7"/>
  <c r="C122" i="7"/>
  <c r="C106" i="7"/>
  <c r="C98" i="7"/>
  <c r="D13" i="7"/>
  <c r="D15" i="7" s="1"/>
  <c r="D201" i="7" s="1"/>
  <c r="B21" i="7"/>
  <c r="H8" i="4"/>
  <c r="H20" i="4"/>
  <c r="A16" i="1" l="1"/>
  <c r="F16" i="1" s="1"/>
  <c r="G16" i="1" s="1"/>
  <c r="E17" i="1" s="1"/>
  <c r="C17" i="1" s="1"/>
  <c r="F17" i="1" s="1"/>
  <c r="G17" i="1" s="1"/>
  <c r="E18" i="1" s="1"/>
  <c r="C18" i="1" s="1"/>
  <c r="F18" i="1" s="1"/>
  <c r="G18" i="1" s="1"/>
  <c r="E19" i="1" s="1"/>
  <c r="C19" i="1" s="1"/>
  <c r="F19" i="1" s="1"/>
  <c r="G19" i="1" s="1"/>
  <c r="E20" i="1" s="1"/>
  <c r="C20" i="1" s="1"/>
  <c r="F20" i="1" s="1"/>
  <c r="G20" i="1" s="1"/>
  <c r="B17" i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O16" i="1"/>
  <c r="M17" i="1" s="1"/>
  <c r="K17" i="1" s="1"/>
  <c r="N17" i="1" s="1"/>
  <c r="D262" i="7"/>
  <c r="D156" i="7"/>
  <c r="D295" i="7"/>
  <c r="D272" i="7"/>
  <c r="D336" i="7"/>
  <c r="D160" i="7"/>
  <c r="D145" i="7"/>
  <c r="D211" i="7"/>
  <c r="D163" i="7"/>
  <c r="D199" i="7"/>
  <c r="D208" i="7"/>
  <c r="D115" i="7"/>
  <c r="D298" i="7"/>
  <c r="D303" i="7"/>
  <c r="D198" i="7"/>
  <c r="D366" i="7"/>
  <c r="D134" i="7"/>
  <c r="D204" i="7"/>
  <c r="D173" i="7"/>
  <c r="D167" i="7"/>
  <c r="D308" i="7"/>
  <c r="D301" i="7"/>
  <c r="D123" i="7"/>
  <c r="D126" i="7"/>
  <c r="D333" i="7"/>
  <c r="D168" i="7"/>
  <c r="D356" i="7"/>
  <c r="D293" i="7"/>
  <c r="D186" i="7"/>
  <c r="D250" i="7"/>
  <c r="D193" i="7"/>
  <c r="D320" i="7"/>
  <c r="D238" i="7"/>
  <c r="D229" i="7"/>
  <c r="D283" i="7"/>
  <c r="D223" i="7"/>
  <c r="D216" i="7"/>
  <c r="D102" i="7"/>
  <c r="D347" i="7"/>
  <c r="D138" i="7"/>
  <c r="D254" i="7"/>
  <c r="D326" i="7"/>
  <c r="D339" i="7"/>
  <c r="D358" i="7"/>
  <c r="D165" i="7"/>
  <c r="D244" i="7"/>
  <c r="D292" i="7"/>
  <c r="D252" i="7"/>
  <c r="D118" i="7"/>
  <c r="D249" i="7"/>
  <c r="D376" i="7"/>
  <c r="D240" i="7"/>
  <c r="D269" i="7"/>
  <c r="D141" i="7"/>
  <c r="D368" i="7"/>
  <c r="D256" i="7"/>
  <c r="D128" i="7"/>
  <c r="D378" i="7"/>
  <c r="D346" i="7"/>
  <c r="D314" i="7"/>
  <c r="D282" i="7"/>
  <c r="D242" i="7"/>
  <c r="D202" i="7"/>
  <c r="D162" i="7"/>
  <c r="D130" i="7"/>
  <c r="D373" i="7"/>
  <c r="D364" i="7"/>
  <c r="D284" i="7"/>
  <c r="D352" i="7"/>
  <c r="D214" i="7"/>
  <c r="D341" i="7"/>
  <c r="D237" i="7"/>
  <c r="D360" i="7"/>
  <c r="D96" i="7"/>
  <c r="D370" i="7"/>
  <c r="D338" i="7"/>
  <c r="D306" i="7"/>
  <c r="D234" i="7"/>
  <c r="D154" i="7"/>
  <c r="D230" i="7"/>
  <c r="D345" i="7"/>
  <c r="D270" i="7"/>
  <c r="D309" i="7"/>
  <c r="D213" i="7"/>
  <c r="D258" i="7"/>
  <c r="D228" i="7"/>
  <c r="D180" i="7"/>
  <c r="D281" i="7"/>
  <c r="D232" i="7"/>
  <c r="D184" i="7"/>
  <c r="D144" i="7"/>
  <c r="D319" i="7"/>
  <c r="D318" i="7"/>
  <c r="D297" i="7"/>
  <c r="D169" i="7"/>
  <c r="D335" i="7"/>
  <c r="D239" i="7"/>
  <c r="D175" i="7"/>
  <c r="D151" i="7"/>
  <c r="D236" i="7"/>
  <c r="D108" i="7"/>
  <c r="D377" i="7"/>
  <c r="D129" i="7"/>
  <c r="D323" i="7"/>
  <c r="D259" i="7"/>
  <c r="D195" i="7"/>
  <c r="D131" i="7"/>
  <c r="D294" i="7"/>
  <c r="D340" i="7"/>
  <c r="D361" i="7"/>
  <c r="D342" i="7"/>
  <c r="D222" i="7"/>
  <c r="D149" i="7"/>
  <c r="D188" i="7"/>
  <c r="D317" i="7"/>
  <c r="D261" i="7"/>
  <c r="D221" i="7"/>
  <c r="D157" i="7"/>
  <c r="D324" i="7"/>
  <c r="D196" i="7"/>
  <c r="D124" i="7"/>
  <c r="D305" i="7"/>
  <c r="D105" i="7"/>
  <c r="D328" i="7"/>
  <c r="D280" i="7"/>
  <c r="D200" i="7"/>
  <c r="D152" i="7"/>
  <c r="D112" i="7"/>
  <c r="D327" i="7"/>
  <c r="D271" i="7"/>
  <c r="D143" i="7"/>
  <c r="D334" i="7"/>
  <c r="D313" i="7"/>
  <c r="D233" i="7"/>
  <c r="D177" i="7"/>
  <c r="D113" i="7"/>
  <c r="D375" i="7"/>
  <c r="D255" i="7"/>
  <c r="D191" i="7"/>
  <c r="D95" i="7"/>
  <c r="D311" i="7"/>
  <c r="D183" i="7"/>
  <c r="D268" i="7"/>
  <c r="D140" i="7"/>
  <c r="D289" i="7"/>
  <c r="D161" i="7"/>
  <c r="D331" i="7"/>
  <c r="D299" i="7"/>
  <c r="D267" i="7"/>
  <c r="D235" i="7"/>
  <c r="D203" i="7"/>
  <c r="D171" i="7"/>
  <c r="D139" i="7"/>
  <c r="D107" i="7"/>
  <c r="D246" i="7"/>
  <c r="D164" i="7"/>
  <c r="D353" i="7"/>
  <c r="D302" i="7"/>
  <c r="D133" i="7"/>
  <c r="D132" i="7"/>
  <c r="D209" i="7"/>
  <c r="D109" i="7"/>
  <c r="D224" i="7"/>
  <c r="D274" i="7"/>
  <c r="D194" i="7"/>
  <c r="D122" i="7"/>
  <c r="D170" i="7"/>
  <c r="D325" i="7"/>
  <c r="D286" i="7"/>
  <c r="D365" i="7"/>
  <c r="D253" i="7"/>
  <c r="D117" i="7"/>
  <c r="D116" i="7"/>
  <c r="D312" i="7"/>
  <c r="D104" i="7"/>
  <c r="D231" i="7"/>
  <c r="D135" i="7"/>
  <c r="D190" i="7"/>
  <c r="D371" i="7"/>
  <c r="D217" i="7"/>
  <c r="D279" i="7"/>
  <c r="D257" i="7"/>
  <c r="D291" i="7"/>
  <c r="D227" i="7"/>
  <c r="D206" i="7"/>
  <c r="D372" i="7"/>
  <c r="D357" i="7"/>
  <c r="D277" i="7"/>
  <c r="D101" i="7"/>
  <c r="D380" i="7"/>
  <c r="D220" i="7"/>
  <c r="D148" i="7"/>
  <c r="D121" i="7"/>
  <c r="D304" i="7"/>
  <c r="D248" i="7"/>
  <c r="D343" i="7"/>
  <c r="D127" i="7"/>
  <c r="D350" i="7"/>
  <c r="D166" i="7"/>
  <c r="D241" i="7"/>
  <c r="D247" i="7"/>
  <c r="D97" i="7"/>
  <c r="D315" i="7"/>
  <c r="D275" i="7"/>
  <c r="D187" i="7"/>
  <c r="D362" i="7"/>
  <c r="D322" i="7"/>
  <c r="D226" i="7"/>
  <c r="D178" i="7"/>
  <c r="D174" i="7"/>
  <c r="D276" i="7"/>
  <c r="D265" i="7"/>
  <c r="D136" i="7"/>
  <c r="D114" i="7"/>
  <c r="D263" i="7"/>
  <c r="D332" i="7"/>
  <c r="D172" i="7"/>
  <c r="D147" i="7"/>
  <c r="D110" i="7"/>
  <c r="D374" i="7"/>
  <c r="D285" i="7"/>
  <c r="D379" i="7"/>
  <c r="D349" i="7"/>
  <c r="D197" i="7"/>
  <c r="D212" i="7"/>
  <c r="D344" i="7"/>
  <c r="D296" i="7"/>
  <c r="D207" i="7"/>
  <c r="D103" i="7"/>
  <c r="D153" i="7"/>
  <c r="D359" i="7"/>
  <c r="D215" i="7"/>
  <c r="D205" i="7"/>
  <c r="D225" i="7"/>
  <c r="D307" i="7"/>
  <c r="D219" i="7"/>
  <c r="D179" i="7"/>
  <c r="D99" i="7"/>
  <c r="D354" i="7"/>
  <c r="D266" i="7"/>
  <c r="D210" i="7"/>
  <c r="D106" i="7"/>
  <c r="D94" i="7"/>
  <c r="D150" i="7"/>
  <c r="D278" i="7"/>
  <c r="D245" i="7"/>
  <c r="D363" i="7"/>
  <c r="D316" i="7"/>
  <c r="D260" i="7"/>
  <c r="D176" i="7"/>
  <c r="D120" i="7"/>
  <c r="D158" i="7"/>
  <c r="D264" i="7"/>
  <c r="D159" i="7"/>
  <c r="D300" i="7"/>
  <c r="D192" i="7"/>
  <c r="D182" i="7"/>
  <c r="D146" i="7"/>
  <c r="D321" i="7"/>
  <c r="D142" i="7"/>
  <c r="D348" i="7"/>
  <c r="D181" i="7"/>
  <c r="D125" i="7"/>
  <c r="D98" i="7"/>
  <c r="D330" i="7"/>
  <c r="D273" i="7"/>
  <c r="D367" i="7"/>
  <c r="D137" i="7"/>
  <c r="D329" i="7"/>
  <c r="D100" i="7"/>
  <c r="D189" i="7"/>
  <c r="D355" i="7"/>
  <c r="D243" i="7"/>
  <c r="D111" i="7"/>
  <c r="D310" i="7"/>
  <c r="D337" i="7"/>
  <c r="D290" i="7"/>
  <c r="D155" i="7"/>
  <c r="D251" i="7"/>
  <c r="D288" i="7"/>
  <c r="D369" i="7"/>
  <c r="D119" i="7"/>
  <c r="D351" i="7"/>
  <c r="D185" i="7"/>
  <c r="D287" i="7"/>
  <c r="D218" i="7"/>
  <c r="D21" i="7"/>
  <c r="D14" i="4"/>
  <c r="B21" i="4" s="1" a="1"/>
  <c r="D13" i="4"/>
  <c r="N16" i="1" l="1"/>
  <c r="O17" i="1"/>
  <c r="E21" i="1"/>
  <c r="C21" i="1" s="1"/>
  <c r="F21" i="1" s="1"/>
  <c r="G21" i="1" s="1"/>
  <c r="C81" i="4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G21" i="7"/>
  <c r="B21" i="4"/>
  <c r="D15" i="4"/>
  <c r="M18" i="1" l="1"/>
  <c r="E22" i="1"/>
  <c r="C22" i="1" s="1"/>
  <c r="F22" i="1" s="1"/>
  <c r="G22" i="1" s="1"/>
  <c r="H21" i="7"/>
  <c r="C21" i="4"/>
  <c r="F21" i="4"/>
  <c r="D21" i="4"/>
  <c r="K18" i="1" l="1"/>
  <c r="E23" i="1"/>
  <c r="C23" i="1" s="1"/>
  <c r="F23" i="1" s="1"/>
  <c r="G23" i="1" s="1"/>
  <c r="C22" i="4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G21" i="4"/>
  <c r="H21" i="4" s="1"/>
  <c r="F22" i="4" s="1"/>
  <c r="D22" i="4" s="1"/>
  <c r="C22" i="7"/>
  <c r="F22" i="7"/>
  <c r="D22" i="7" s="1"/>
  <c r="G22" i="7" s="1"/>
  <c r="N18" i="1" l="1"/>
  <c r="O18" i="1"/>
  <c r="E24" i="1"/>
  <c r="C24" i="1" s="1"/>
  <c r="F24" i="1" s="1"/>
  <c r="G24" i="1" s="1"/>
  <c r="G22" i="4"/>
  <c r="H22" i="7"/>
  <c r="M19" i="1" l="1"/>
  <c r="K19" i="1" s="1"/>
  <c r="N19" i="1" s="1"/>
  <c r="E25" i="1"/>
  <c r="C25" i="1" s="1"/>
  <c r="F25" i="1" s="1"/>
  <c r="G25" i="1" s="1"/>
  <c r="H22" i="4"/>
  <c r="F23" i="4" s="1"/>
  <c r="F23" i="7"/>
  <c r="D23" i="7" s="1"/>
  <c r="C23" i="7"/>
  <c r="O19" i="1" l="1"/>
  <c r="E26" i="1"/>
  <c r="C26" i="1" s="1"/>
  <c r="F26" i="1" s="1"/>
  <c r="G26" i="1" s="1"/>
  <c r="D23" i="4"/>
  <c r="G23" i="4" s="1"/>
  <c r="H23" i="4" s="1"/>
  <c r="F24" i="4" s="1"/>
  <c r="M20" i="1" l="1"/>
  <c r="K20" i="1" s="1"/>
  <c r="N20" i="1" s="1"/>
  <c r="E27" i="1"/>
  <c r="C27" i="1" s="1"/>
  <c r="F27" i="1" s="1"/>
  <c r="G27" i="1" s="1"/>
  <c r="D24" i="4"/>
  <c r="G24" i="4" s="1"/>
  <c r="O20" i="1" l="1"/>
  <c r="E28" i="1"/>
  <c r="C28" i="1" s="1"/>
  <c r="F28" i="1" s="1"/>
  <c r="G28" i="1" s="1"/>
  <c r="H24" i="4"/>
  <c r="F25" i="4" s="1"/>
  <c r="M21" i="1" l="1"/>
  <c r="K21" i="1" s="1"/>
  <c r="N21" i="1" s="1"/>
  <c r="E29" i="1"/>
  <c r="C29" i="1" s="1"/>
  <c r="F29" i="1" s="1"/>
  <c r="G29" i="1" s="1"/>
  <c r="D25" i="4"/>
  <c r="G25" i="4" s="1"/>
  <c r="O21" i="1" l="1"/>
  <c r="M22" i="1" s="1"/>
  <c r="K22" i="1" s="1"/>
  <c r="N22" i="1" s="1"/>
  <c r="E30" i="1"/>
  <c r="C30" i="1" s="1"/>
  <c r="F30" i="1" s="1"/>
  <c r="G30" i="1" s="1"/>
  <c r="H25" i="4"/>
  <c r="O22" i="1" l="1"/>
  <c r="M23" i="1" s="1"/>
  <c r="K23" i="1" s="1"/>
  <c r="N23" i="1" s="1"/>
  <c r="E31" i="1"/>
  <c r="C31" i="1" s="1"/>
  <c r="F31" i="1" s="1"/>
  <c r="G31" i="1" s="1"/>
  <c r="F26" i="4"/>
  <c r="D26" i="4" s="1"/>
  <c r="G26" i="4" s="1"/>
  <c r="O23" i="1" l="1"/>
  <c r="M24" i="1" s="1"/>
  <c r="K24" i="1" s="1"/>
  <c r="N24" i="1" s="1"/>
  <c r="E32" i="1"/>
  <c r="C32" i="1" s="1"/>
  <c r="F32" i="1" s="1"/>
  <c r="G32" i="1" s="1"/>
  <c r="H26" i="4"/>
  <c r="O24" i="1" l="1"/>
  <c r="M25" i="1" s="1"/>
  <c r="K25" i="1" s="1"/>
  <c r="E33" i="1"/>
  <c r="C33" i="1" s="1"/>
  <c r="F33" i="1" s="1"/>
  <c r="G33" i="1" s="1"/>
  <c r="F27" i="4"/>
  <c r="D27" i="4" s="1"/>
  <c r="G27" i="4" s="1"/>
  <c r="N25" i="1" l="1"/>
  <c r="O25" i="1"/>
  <c r="E34" i="1"/>
  <c r="C34" i="1" s="1"/>
  <c r="F34" i="1" s="1"/>
  <c r="G34" i="1" s="1"/>
  <c r="H27" i="4"/>
  <c r="M26" i="1" l="1"/>
  <c r="K26" i="1" s="1"/>
  <c r="E35" i="1"/>
  <c r="C35" i="1" s="1"/>
  <c r="F35" i="1" s="1"/>
  <c r="G35" i="1" s="1"/>
  <c r="F28" i="4"/>
  <c r="D28" i="4" s="1"/>
  <c r="G28" i="4" s="1"/>
  <c r="N26" i="1" l="1"/>
  <c r="O26" i="1"/>
  <c r="E36" i="1"/>
  <c r="C36" i="1" s="1"/>
  <c r="F36" i="1" s="1"/>
  <c r="G36" i="1" s="1"/>
  <c r="H28" i="4"/>
  <c r="F29" i="4" s="1"/>
  <c r="D29" i="4" s="1"/>
  <c r="G29" i="4" s="1"/>
  <c r="M27" i="1" l="1"/>
  <c r="K27" i="1" s="1"/>
  <c r="E37" i="1"/>
  <c r="C37" i="1" s="1"/>
  <c r="F37" i="1" s="1"/>
  <c r="G37" i="1" s="1"/>
  <c r="H29" i="4"/>
  <c r="N27" i="1" l="1"/>
  <c r="O27" i="1"/>
  <c r="E38" i="1"/>
  <c r="C38" i="1" s="1"/>
  <c r="F38" i="1" s="1"/>
  <c r="G38" i="1" s="1"/>
  <c r="F30" i="4"/>
  <c r="D30" i="4" s="1"/>
  <c r="G30" i="4" s="1"/>
  <c r="M28" i="1" l="1"/>
  <c r="K28" i="1" s="1"/>
  <c r="E39" i="1"/>
  <c r="C39" i="1" s="1"/>
  <c r="F39" i="1" s="1"/>
  <c r="G39" i="1" s="1"/>
  <c r="H30" i="4"/>
  <c r="N28" i="1" l="1"/>
  <c r="O28" i="1"/>
  <c r="E40" i="1"/>
  <c r="C40" i="1" s="1"/>
  <c r="F40" i="1" s="1"/>
  <c r="G40" i="1" s="1"/>
  <c r="F31" i="4"/>
  <c r="D31" i="4" s="1"/>
  <c r="G31" i="4" s="1"/>
  <c r="E41" i="1" l="1"/>
  <c r="C41" i="1" s="1"/>
  <c r="F41" i="1" s="1"/>
  <c r="G41" i="1" s="1"/>
  <c r="E42" i="1" s="1"/>
  <c r="M29" i="1"/>
  <c r="K29" i="1" s="1"/>
  <c r="N29" i="1" s="1"/>
  <c r="H31" i="4"/>
  <c r="C42" i="1" l="1"/>
  <c r="F42" i="1" s="1"/>
  <c r="G42" i="1" s="1"/>
  <c r="O29" i="1"/>
  <c r="F32" i="4"/>
  <c r="D32" i="4" s="1"/>
  <c r="G32" i="4" s="1"/>
  <c r="E43" i="1" l="1"/>
  <c r="C43" i="1" s="1"/>
  <c r="F43" i="1" s="1"/>
  <c r="G43" i="1" s="1"/>
  <c r="M30" i="1"/>
  <c r="K30" i="1" s="1"/>
  <c r="H32" i="4"/>
  <c r="E44" i="1" l="1"/>
  <c r="C44" i="1" s="1"/>
  <c r="F44" i="1" s="1"/>
  <c r="G44" i="1" s="1"/>
  <c r="N30" i="1"/>
  <c r="O30" i="1"/>
  <c r="F33" i="4"/>
  <c r="D33" i="4" s="1"/>
  <c r="G33" i="4" s="1"/>
  <c r="E45" i="1" l="1"/>
  <c r="C45" i="1" s="1"/>
  <c r="F45" i="1" s="1"/>
  <c r="G45" i="1" s="1"/>
  <c r="M31" i="1"/>
  <c r="K31" i="1" s="1"/>
  <c r="H33" i="4"/>
  <c r="E46" i="1" l="1"/>
  <c r="C46" i="1" s="1"/>
  <c r="F46" i="1" s="1"/>
  <c r="G46" i="1" s="1"/>
  <c r="N31" i="1"/>
  <c r="O31" i="1"/>
  <c r="F34" i="4"/>
  <c r="D34" i="4" s="1"/>
  <c r="G34" i="4" s="1"/>
  <c r="E47" i="1" l="1"/>
  <c r="C47" i="1" s="1"/>
  <c r="F47" i="1" s="1"/>
  <c r="G47" i="1" s="1"/>
  <c r="M32" i="1"/>
  <c r="K32" i="1" s="1"/>
  <c r="H34" i="4"/>
  <c r="E48" i="1" l="1"/>
  <c r="C48" i="1" s="1"/>
  <c r="F48" i="1" s="1"/>
  <c r="G48" i="1" s="1"/>
  <c r="N32" i="1"/>
  <c r="O32" i="1"/>
  <c r="F35" i="4"/>
  <c r="D35" i="4" s="1"/>
  <c r="G35" i="4" s="1"/>
  <c r="E49" i="1" l="1"/>
  <c r="C49" i="1" s="1"/>
  <c r="F49" i="1" s="1"/>
  <c r="G49" i="1" s="1"/>
  <c r="M33" i="1"/>
  <c r="K33" i="1" s="1"/>
  <c r="H35" i="4"/>
  <c r="E50" i="1" l="1"/>
  <c r="C50" i="1" s="1"/>
  <c r="F50" i="1" s="1"/>
  <c r="G50" i="1" s="1"/>
  <c r="N33" i="1"/>
  <c r="O33" i="1"/>
  <c r="F36" i="4"/>
  <c r="D36" i="4" s="1"/>
  <c r="G36" i="4" s="1"/>
  <c r="E51" i="1" l="1"/>
  <c r="C51" i="1" s="1"/>
  <c r="F51" i="1" s="1"/>
  <c r="G51" i="1" s="1"/>
  <c r="M34" i="1"/>
  <c r="K34" i="1" s="1"/>
  <c r="H36" i="4"/>
  <c r="F4" i="1" l="1"/>
  <c r="N34" i="1"/>
  <c r="O34" i="1"/>
  <c r="F37" i="4"/>
  <c r="D37" i="4" s="1"/>
  <c r="G37" i="4" s="1"/>
  <c r="M35" i="1" l="1"/>
  <c r="K35" i="1" s="1"/>
  <c r="H37" i="4"/>
  <c r="N35" i="1" l="1"/>
  <c r="O35" i="1"/>
  <c r="F38" i="4"/>
  <c r="D38" i="4" s="1"/>
  <c r="G38" i="4" s="1"/>
  <c r="M36" i="1" l="1"/>
  <c r="K36" i="1" s="1"/>
  <c r="H38" i="4"/>
  <c r="N36" i="1" l="1"/>
  <c r="O36" i="1"/>
  <c r="F39" i="4"/>
  <c r="D39" i="4" s="1"/>
  <c r="G39" i="4" s="1"/>
  <c r="M37" i="1" l="1"/>
  <c r="K37" i="1" s="1"/>
  <c r="H39" i="4"/>
  <c r="N37" i="1" l="1"/>
  <c r="O37" i="1"/>
  <c r="F40" i="4"/>
  <c r="D40" i="4" s="1"/>
  <c r="G40" i="4" s="1"/>
  <c r="M38" i="1" l="1"/>
  <c r="K38" i="1" s="1"/>
  <c r="H40" i="4"/>
  <c r="N38" i="1" l="1"/>
  <c r="O38" i="1"/>
  <c r="F41" i="4"/>
  <c r="D41" i="4" s="1"/>
  <c r="G41" i="4" s="1"/>
  <c r="M39" i="1" l="1"/>
  <c r="K39" i="1" s="1"/>
  <c r="H41" i="4"/>
  <c r="N39" i="1" l="1"/>
  <c r="O39" i="1"/>
  <c r="F42" i="4"/>
  <c r="D42" i="4" s="1"/>
  <c r="G42" i="4" s="1"/>
  <c r="M40" i="1" l="1"/>
  <c r="K40" i="1" s="1"/>
  <c r="H42" i="4"/>
  <c r="N40" i="1" l="1"/>
  <c r="O40" i="1"/>
  <c r="F43" i="4"/>
  <c r="D43" i="4" s="1"/>
  <c r="G43" i="4" s="1"/>
  <c r="M41" i="1" l="1"/>
  <c r="K41" i="1" s="1"/>
  <c r="H43" i="4"/>
  <c r="N41" i="1" l="1"/>
  <c r="O41" i="1"/>
  <c r="F44" i="4"/>
  <c r="D44" i="4" s="1"/>
  <c r="G44" i="4" s="1"/>
  <c r="M42" i="1" l="1"/>
  <c r="K42" i="1" s="1"/>
  <c r="H44" i="4"/>
  <c r="N42" i="1" l="1"/>
  <c r="O42" i="1"/>
  <c r="F45" i="4"/>
  <c r="D45" i="4" s="1"/>
  <c r="G45" i="4" s="1"/>
  <c r="G23" i="7"/>
  <c r="M43" i="1" l="1"/>
  <c r="K43" i="1" s="1"/>
  <c r="H45" i="4"/>
  <c r="H23" i="7"/>
  <c r="F24" i="7" s="1"/>
  <c r="N43" i="1" l="1"/>
  <c r="O43" i="1"/>
  <c r="F46" i="4"/>
  <c r="D46" i="4" s="1"/>
  <c r="G46" i="4" s="1"/>
  <c r="C24" i="7"/>
  <c r="D24" i="7"/>
  <c r="G24" i="7" s="1"/>
  <c r="M44" i="1" l="1"/>
  <c r="K44" i="1" s="1"/>
  <c r="H46" i="4"/>
  <c r="H24" i="7"/>
  <c r="F25" i="7" s="1"/>
  <c r="N44" i="1" l="1"/>
  <c r="O44" i="1"/>
  <c r="F47" i="4"/>
  <c r="D47" i="4" s="1"/>
  <c r="G47" i="4" s="1"/>
  <c r="D25" i="7"/>
  <c r="G25" i="7" s="1"/>
  <c r="H25" i="7" s="1"/>
  <c r="F26" i="7" s="1"/>
  <c r="C25" i="7"/>
  <c r="M45" i="1" l="1"/>
  <c r="K45" i="1" s="1"/>
  <c r="H47" i="4"/>
  <c r="D26" i="7"/>
  <c r="G26" i="7" s="1"/>
  <c r="H26" i="7" s="1"/>
  <c r="F27" i="7" s="1"/>
  <c r="C26" i="7"/>
  <c r="N45" i="1" l="1"/>
  <c r="O45" i="1"/>
  <c r="F48" i="4"/>
  <c r="D48" i="4" s="1"/>
  <c r="G48" i="4" s="1"/>
  <c r="D27" i="7"/>
  <c r="G27" i="7" s="1"/>
  <c r="H27" i="7" s="1"/>
  <c r="F28" i="7" s="1"/>
  <c r="C27" i="7"/>
  <c r="M46" i="1" l="1"/>
  <c r="K46" i="1" s="1"/>
  <c r="H48" i="4"/>
  <c r="D28" i="7"/>
  <c r="G28" i="7" s="1"/>
  <c r="C28" i="7"/>
  <c r="N46" i="1" l="1"/>
  <c r="O46" i="1"/>
  <c r="F49" i="4"/>
  <c r="D49" i="4" s="1"/>
  <c r="G49" i="4" s="1"/>
  <c r="H49" i="4" s="1"/>
  <c r="H28" i="7"/>
  <c r="F29" i="7" s="1"/>
  <c r="M47" i="1" l="1"/>
  <c r="K47" i="1" s="1"/>
  <c r="F50" i="4"/>
  <c r="D50" i="4" s="1"/>
  <c r="G50" i="4" s="1"/>
  <c r="H50" i="4" s="1"/>
  <c r="D29" i="7"/>
  <c r="G29" i="7" s="1"/>
  <c r="H29" i="7" s="1"/>
  <c r="F30" i="7" s="1"/>
  <c r="C29" i="7"/>
  <c r="N47" i="1" l="1"/>
  <c r="O47" i="1"/>
  <c r="F51" i="4"/>
  <c r="D51" i="4" s="1"/>
  <c r="G51" i="4" s="1"/>
  <c r="H51" i="4" s="1"/>
  <c r="D30" i="7"/>
  <c r="G30" i="7" s="1"/>
  <c r="H30" i="7" s="1"/>
  <c r="C30" i="7"/>
  <c r="M48" i="1" l="1"/>
  <c r="K48" i="1" s="1"/>
  <c r="F52" i="4"/>
  <c r="D52" i="4" s="1"/>
  <c r="G52" i="4" s="1"/>
  <c r="H52" i="4" s="1"/>
  <c r="F31" i="7"/>
  <c r="D31" i="7" s="1"/>
  <c r="G31" i="7" s="1"/>
  <c r="H31" i="7" s="1"/>
  <c r="C31" i="7"/>
  <c r="N48" i="1" l="1"/>
  <c r="O48" i="1"/>
  <c r="F53" i="4"/>
  <c r="D53" i="4" s="1"/>
  <c r="G53" i="4" s="1"/>
  <c r="H53" i="4" s="1"/>
  <c r="F32" i="7"/>
  <c r="D32" i="7" s="1"/>
  <c r="G32" i="7" s="1"/>
  <c r="C32" i="7"/>
  <c r="M49" i="1" l="1"/>
  <c r="K49" i="1" s="1"/>
  <c r="F54" i="4"/>
  <c r="D54" i="4" s="1"/>
  <c r="G54" i="4" s="1"/>
  <c r="H54" i="4" s="1"/>
  <c r="H32" i="7"/>
  <c r="N49" i="1" l="1"/>
  <c r="O49" i="1"/>
  <c r="M50" i="1" s="1"/>
  <c r="K50" i="1" s="1"/>
  <c r="F55" i="4"/>
  <c r="D55" i="4" s="1"/>
  <c r="G55" i="4" s="1"/>
  <c r="H55" i="4" s="1"/>
  <c r="F56" i="4" s="1"/>
  <c r="D56" i="4" s="1"/>
  <c r="G56" i="4" s="1"/>
  <c r="H56" i="4" s="1"/>
  <c r="F33" i="7"/>
  <c r="D33" i="7" s="1"/>
  <c r="G33" i="7" s="1"/>
  <c r="C33" i="7"/>
  <c r="N50" i="1" l="1"/>
  <c r="O50" i="1"/>
  <c r="F57" i="4"/>
  <c r="D57" i="4" s="1"/>
  <c r="G57" i="4" s="1"/>
  <c r="H57" i="4" s="1"/>
  <c r="F58" i="4" s="1"/>
  <c r="D58" i="4" s="1"/>
  <c r="G58" i="4" s="1"/>
  <c r="H58" i="4" s="1"/>
  <c r="H33" i="7"/>
  <c r="M51" i="1" l="1"/>
  <c r="F5" i="1" s="1"/>
  <c r="F59" i="4"/>
  <c r="D59" i="4" s="1"/>
  <c r="G59" i="4" s="1"/>
  <c r="H59" i="4" s="1"/>
  <c r="F34" i="7"/>
  <c r="D34" i="7" s="1"/>
  <c r="G34" i="7" s="1"/>
  <c r="C34" i="7"/>
  <c r="K51" i="1" l="1"/>
  <c r="F60" i="4"/>
  <c r="D60" i="4" s="1"/>
  <c r="G60" i="4" s="1"/>
  <c r="H60" i="4" s="1"/>
  <c r="F61" i="4" s="1"/>
  <c r="D61" i="4" s="1"/>
  <c r="G61" i="4" s="1"/>
  <c r="H61" i="4" s="1"/>
  <c r="H34" i="7"/>
  <c r="N51" i="1" l="1"/>
  <c r="O51" i="1"/>
  <c r="F62" i="4"/>
  <c r="D62" i="4" s="1"/>
  <c r="G62" i="4" s="1"/>
  <c r="H62" i="4" s="1"/>
  <c r="F35" i="7"/>
  <c r="D35" i="7" s="1"/>
  <c r="G35" i="7" s="1"/>
  <c r="C35" i="7"/>
  <c r="F63" i="4" l="1"/>
  <c r="D63" i="4" s="1"/>
  <c r="G63" i="4" s="1"/>
  <c r="H63" i="4" s="1"/>
  <c r="H35" i="7"/>
  <c r="F64" i="4" l="1"/>
  <c r="D64" i="4" s="1"/>
  <c r="G64" i="4" s="1"/>
  <c r="H64" i="4" s="1"/>
  <c r="F65" i="4" s="1"/>
  <c r="D65" i="4" s="1"/>
  <c r="G65" i="4" s="1"/>
  <c r="H65" i="4" s="1"/>
  <c r="F36" i="7"/>
  <c r="D36" i="7" s="1"/>
  <c r="G36" i="7" s="1"/>
  <c r="C36" i="7"/>
  <c r="F66" i="4" l="1"/>
  <c r="D66" i="4"/>
  <c r="G66" i="4" s="1"/>
  <c r="H66" i="4" s="1"/>
  <c r="F67" i="4" s="1"/>
  <c r="D67" i="4" s="1"/>
  <c r="G67" i="4" s="1"/>
  <c r="H67" i="4" s="1"/>
  <c r="H36" i="7"/>
  <c r="F68" i="4" l="1"/>
  <c r="D68" i="4" s="1"/>
  <c r="G68" i="4" s="1"/>
  <c r="F37" i="7"/>
  <c r="D37" i="7" s="1"/>
  <c r="G37" i="7" s="1"/>
  <c r="C37" i="7"/>
  <c r="H68" i="4" l="1"/>
  <c r="H37" i="7"/>
  <c r="F69" i="4" l="1"/>
  <c r="D69" i="4" s="1"/>
  <c r="G69" i="4" s="1"/>
  <c r="F38" i="7"/>
  <c r="D38" i="7" s="1"/>
  <c r="G38" i="7" s="1"/>
  <c r="C38" i="7"/>
  <c r="H69" i="4" l="1"/>
  <c r="H38" i="7"/>
  <c r="F70" i="4" l="1"/>
  <c r="D70" i="4" s="1"/>
  <c r="G70" i="4" s="1"/>
  <c r="F39" i="7"/>
  <c r="D39" i="7" s="1"/>
  <c r="G39" i="7" s="1"/>
  <c r="C39" i="7"/>
  <c r="H70" i="4" l="1"/>
  <c r="H39" i="7"/>
  <c r="C40" i="7" s="1"/>
  <c r="F71" i="4" l="1"/>
  <c r="D71" i="4" s="1"/>
  <c r="G71" i="4" s="1"/>
  <c r="F40" i="7"/>
  <c r="D40" i="7" s="1"/>
  <c r="G40" i="7" s="1"/>
  <c r="H71" i="4" l="1"/>
  <c r="H40" i="7"/>
  <c r="F41" i="7" s="1"/>
  <c r="F72" i="4" l="1"/>
  <c r="D72" i="4"/>
  <c r="G72" i="4" s="1"/>
  <c r="D41" i="7"/>
  <c r="G41" i="7" s="1"/>
  <c r="C41" i="7"/>
  <c r="H72" i="4" l="1"/>
  <c r="H41" i="7"/>
  <c r="F73" i="4" l="1"/>
  <c r="D73" i="4" s="1"/>
  <c r="G73" i="4" s="1"/>
  <c r="F42" i="7"/>
  <c r="D42" i="7" s="1"/>
  <c r="G42" i="7" s="1"/>
  <c r="C42" i="7"/>
  <c r="H73" i="4" l="1"/>
  <c r="H42" i="7"/>
  <c r="F43" i="7" s="1"/>
  <c r="F74" i="4" l="1"/>
  <c r="D74" i="4" s="1"/>
  <c r="G74" i="4" s="1"/>
  <c r="H74" i="4" s="1"/>
  <c r="D43" i="7"/>
  <c r="G43" i="7" s="1"/>
  <c r="C43" i="7"/>
  <c r="F75" i="4" l="1"/>
  <c r="D75" i="4" s="1"/>
  <c r="G75" i="4" s="1"/>
  <c r="H75" i="4" s="1"/>
  <c r="H43" i="7"/>
  <c r="F44" i="7" s="1"/>
  <c r="F76" i="4" l="1"/>
  <c r="D76" i="4"/>
  <c r="G76" i="4" s="1"/>
  <c r="H76" i="4" s="1"/>
  <c r="C44" i="7"/>
  <c r="D44" i="7"/>
  <c r="G44" i="7" s="1"/>
  <c r="H44" i="7" s="1"/>
  <c r="F45" i="7" s="1"/>
  <c r="F77" i="4" l="1"/>
  <c r="D77" i="4"/>
  <c r="G77" i="4" s="1"/>
  <c r="H77" i="4" s="1"/>
  <c r="D45" i="7"/>
  <c r="G45" i="7" s="1"/>
  <c r="C45" i="7"/>
  <c r="F78" i="4" l="1"/>
  <c r="D78" i="4"/>
  <c r="G78" i="4" s="1"/>
  <c r="H78" i="4" s="1"/>
  <c r="H45" i="7"/>
  <c r="F46" i="7" s="1"/>
  <c r="F79" i="4" l="1"/>
  <c r="D79" i="4"/>
  <c r="G79" i="4" s="1"/>
  <c r="H79" i="4" s="1"/>
  <c r="D46" i="7"/>
  <c r="G46" i="7" s="1"/>
  <c r="C46" i="7"/>
  <c r="F80" i="4" l="1"/>
  <c r="D80" i="4"/>
  <c r="G80" i="4" s="1"/>
  <c r="H46" i="7"/>
  <c r="F47" i="7" s="1"/>
  <c r="H80" i="4" l="1"/>
  <c r="F81" i="4" s="1"/>
  <c r="D81" i="4" s="1"/>
  <c r="G81" i="4" s="1"/>
  <c r="H81" i="4" s="1"/>
  <c r="D47" i="7"/>
  <c r="G47" i="7" s="1"/>
  <c r="H47" i="7" s="1"/>
  <c r="F48" i="7" s="1"/>
  <c r="C47" i="7"/>
  <c r="F82" i="4" l="1"/>
  <c r="D82" i="4"/>
  <c r="G82" i="4" s="1"/>
  <c r="D48" i="7"/>
  <c r="G48" i="7" s="1"/>
  <c r="H48" i="7" s="1"/>
  <c r="F49" i="7" s="1"/>
  <c r="C48" i="7"/>
  <c r="H82" i="4" l="1"/>
  <c r="D49" i="7"/>
  <c r="G49" i="7" s="1"/>
  <c r="H49" i="7" s="1"/>
  <c r="F50" i="7" s="1"/>
  <c r="C49" i="7"/>
  <c r="F83" i="4" l="1"/>
  <c r="D83" i="4"/>
  <c r="G83" i="4" s="1"/>
  <c r="D50" i="7"/>
  <c r="G50" i="7" s="1"/>
  <c r="C50" i="7"/>
  <c r="H83" i="4" l="1"/>
  <c r="H50" i="7"/>
  <c r="F51" i="7" s="1"/>
  <c r="F84" i="4" l="1"/>
  <c r="D84" i="4" s="1"/>
  <c r="G84" i="4" s="1"/>
  <c r="D51" i="7"/>
  <c r="G51" i="7" s="1"/>
  <c r="C51" i="7"/>
  <c r="H84" i="4" l="1"/>
  <c r="H51" i="7"/>
  <c r="F52" i="7" s="1"/>
  <c r="F85" i="4" l="1"/>
  <c r="D85" i="4"/>
  <c r="G85" i="4" s="1"/>
  <c r="H85" i="4"/>
  <c r="F86" i="4" s="1"/>
  <c r="D86" i="4" s="1"/>
  <c r="G86" i="4" s="1"/>
  <c r="H86" i="4" s="1"/>
  <c r="F87" i="4" s="1"/>
  <c r="D87" i="4" s="1"/>
  <c r="G87" i="4" s="1"/>
  <c r="H87" i="4" s="1"/>
  <c r="D52" i="7"/>
  <c r="G52" i="7" s="1"/>
  <c r="C52" i="7"/>
  <c r="F88" i="4" l="1"/>
  <c r="D88" i="4" s="1"/>
  <c r="G88" i="4" s="1"/>
  <c r="H88" i="4" s="1"/>
  <c r="F89" i="4" s="1"/>
  <c r="H52" i="7"/>
  <c r="F53" i="7" s="1"/>
  <c r="D89" i="4" l="1"/>
  <c r="G89" i="4" s="1"/>
  <c r="H89" i="4" s="1"/>
  <c r="D53" i="7"/>
  <c r="G53" i="7" s="1"/>
  <c r="C53" i="7"/>
  <c r="F90" i="4" l="1"/>
  <c r="H53" i="7"/>
  <c r="F54" i="7" s="1"/>
  <c r="D90" i="4" l="1"/>
  <c r="G90" i="4" s="1"/>
  <c r="H90" i="4" s="1"/>
  <c r="D54" i="7"/>
  <c r="G54" i="7" s="1"/>
  <c r="C54" i="7"/>
  <c r="F91" i="4" l="1"/>
  <c r="D91" i="4"/>
  <c r="G91" i="4" s="1"/>
  <c r="H91" i="4" s="1"/>
  <c r="H54" i="7"/>
  <c r="F55" i="7" s="1"/>
  <c r="F92" i="4" l="1"/>
  <c r="H10" i="4" s="1"/>
  <c r="D55" i="7"/>
  <c r="G55" i="7" s="1"/>
  <c r="H55" i="7" s="1"/>
  <c r="F56" i="7" s="1"/>
  <c r="C55" i="7"/>
  <c r="D92" i="4" l="1"/>
  <c r="G92" i="4" s="1"/>
  <c r="D56" i="7"/>
  <c r="G56" i="7" s="1"/>
  <c r="C56" i="7"/>
  <c r="H92" i="4" l="1"/>
  <c r="H11" i="4"/>
  <c r="H56" i="7"/>
  <c r="H9" i="4" l="1"/>
  <c r="H12" i="4"/>
  <c r="F57" i="7"/>
  <c r="D57" i="7"/>
  <c r="G57" i="7" s="1"/>
  <c r="C57" i="7"/>
  <c r="H57" i="7" l="1"/>
  <c r="F58" i="7" l="1"/>
  <c r="D58" i="7" s="1"/>
  <c r="G58" i="7" s="1"/>
  <c r="C58" i="7"/>
  <c r="H58" i="7" l="1"/>
  <c r="F59" i="7" l="1"/>
  <c r="C59" i="7"/>
  <c r="D59" i="7"/>
  <c r="G59" i="7" s="1"/>
  <c r="H59" i="7" s="1"/>
  <c r="F60" i="7" l="1"/>
  <c r="C60" i="7"/>
  <c r="D60" i="7"/>
  <c r="G60" i="7" s="1"/>
  <c r="H60" i="7" s="1"/>
  <c r="C61" i="7" l="1"/>
  <c r="F61" i="7"/>
  <c r="D61" i="7" s="1"/>
  <c r="G61" i="7" s="1"/>
  <c r="H61" i="7" s="1"/>
  <c r="F62" i="7" l="1"/>
  <c r="C62" i="7"/>
  <c r="D62" i="7"/>
  <c r="G62" i="7" s="1"/>
  <c r="H62" i="7" s="1"/>
  <c r="F63" i="7" l="1"/>
  <c r="D63" i="7" s="1"/>
  <c r="G63" i="7" s="1"/>
  <c r="H63" i="7" s="1"/>
  <c r="C63" i="7"/>
  <c r="F64" i="7" l="1"/>
  <c r="D64" i="7" s="1"/>
  <c r="G64" i="7" s="1"/>
  <c r="H64" i="7" s="1"/>
  <c r="C64" i="7"/>
  <c r="F65" i="7" l="1"/>
  <c r="D65" i="7" s="1"/>
  <c r="G65" i="7" s="1"/>
  <c r="H65" i="7" s="1"/>
  <c r="C65" i="7"/>
  <c r="F66" i="7" l="1"/>
  <c r="C66" i="7"/>
  <c r="D66" i="7"/>
  <c r="G66" i="7" s="1"/>
  <c r="H66" i="7" s="1"/>
  <c r="F67" i="7" l="1"/>
  <c r="C67" i="7"/>
  <c r="D67" i="7"/>
  <c r="G67" i="7" s="1"/>
  <c r="H67" i="7" s="1"/>
  <c r="F68" i="7" l="1"/>
  <c r="C68" i="7"/>
  <c r="D68" i="7"/>
  <c r="G68" i="7" s="1"/>
  <c r="H68" i="7" l="1"/>
  <c r="F69" i="7" l="1"/>
  <c r="C69" i="7"/>
  <c r="D69" i="7"/>
  <c r="G69" i="7" s="1"/>
  <c r="H69" i="7" l="1"/>
  <c r="F70" i="7" l="1"/>
  <c r="C70" i="7"/>
  <c r="D70" i="7" l="1"/>
  <c r="G70" i="7" s="1"/>
  <c r="H70" i="7"/>
  <c r="F71" i="7" l="1"/>
  <c r="C71" i="7"/>
  <c r="D71" i="7"/>
  <c r="G71" i="7" s="1"/>
  <c r="H71" i="7" l="1"/>
  <c r="F72" i="7" l="1"/>
  <c r="C72" i="7"/>
  <c r="D72" i="7"/>
  <c r="G72" i="7" s="1"/>
  <c r="H72" i="7" s="1"/>
  <c r="F73" i="7" l="1"/>
  <c r="C73" i="7"/>
  <c r="D73" i="7"/>
  <c r="G73" i="7" s="1"/>
  <c r="H73" i="7" l="1"/>
  <c r="F74" i="7" l="1"/>
  <c r="C74" i="7"/>
  <c r="D74" i="7"/>
  <c r="G74" i="7" s="1"/>
  <c r="H74" i="7" l="1"/>
  <c r="C75" i="7" l="1"/>
  <c r="F75" i="7"/>
  <c r="D75" i="7" s="1"/>
  <c r="G75" i="7" s="1"/>
  <c r="H75" i="7" l="1"/>
  <c r="F76" i="7" l="1"/>
  <c r="D76" i="7" s="1"/>
  <c r="G76" i="7" s="1"/>
  <c r="C76" i="7"/>
  <c r="H76" i="7" l="1"/>
  <c r="F77" i="7" l="1"/>
  <c r="D77" i="7" s="1"/>
  <c r="G77" i="7" s="1"/>
  <c r="C77" i="7"/>
  <c r="H77" i="7" l="1"/>
  <c r="C78" i="7" l="1"/>
  <c r="F78" i="7"/>
  <c r="D78" i="7" s="1"/>
  <c r="G78" i="7" s="1"/>
  <c r="H78" i="7" s="1"/>
  <c r="C79" i="7" l="1"/>
  <c r="F79" i="7"/>
  <c r="D79" i="7" s="1"/>
  <c r="G79" i="7" s="1"/>
  <c r="H79" i="7" s="1"/>
  <c r="C80" i="7" l="1"/>
  <c r="F80" i="7"/>
  <c r="D80" i="7" s="1"/>
  <c r="G80" i="7" s="1"/>
  <c r="H80" i="7" s="1"/>
  <c r="C81" i="7" l="1"/>
  <c r="F81" i="7"/>
  <c r="D81" i="7" s="1"/>
  <c r="G81" i="7" s="1"/>
  <c r="H81" i="7" s="1"/>
  <c r="F82" i="7" l="1"/>
  <c r="D82" i="7" s="1"/>
  <c r="G82" i="7" s="1"/>
  <c r="H82" i="7" s="1"/>
  <c r="C82" i="7"/>
  <c r="F83" i="7" l="1"/>
  <c r="D83" i="7" s="1"/>
  <c r="G83" i="7" s="1"/>
  <c r="H83" i="7" s="1"/>
  <c r="C83" i="7"/>
  <c r="F84" i="7" l="1"/>
  <c r="C84" i="7"/>
  <c r="D84" i="7"/>
  <c r="G84" i="7" s="1"/>
  <c r="H84" i="7"/>
  <c r="C85" i="7" l="1"/>
  <c r="D85" i="7"/>
  <c r="G85" i="7" s="1"/>
  <c r="H85" i="7" s="1"/>
  <c r="F85" i="7"/>
  <c r="D86" i="7" l="1"/>
  <c r="G86" i="7" s="1"/>
  <c r="H86" i="7" s="1"/>
  <c r="C86" i="7"/>
  <c r="F86" i="7"/>
  <c r="F87" i="7" l="1"/>
  <c r="C87" i="7"/>
  <c r="D87" i="7"/>
  <c r="G87" i="7" s="1"/>
  <c r="H87" i="7" s="1"/>
  <c r="F88" i="7" l="1"/>
  <c r="D88" i="7"/>
  <c r="G88" i="7" s="1"/>
  <c r="H88" i="7" s="1"/>
  <c r="C88" i="7"/>
  <c r="C89" i="7" l="1"/>
  <c r="D89" i="7"/>
  <c r="G89" i="7" s="1"/>
  <c r="H89" i="7" s="1"/>
  <c r="F89" i="7"/>
  <c r="C90" i="7" l="1"/>
  <c r="D90" i="7"/>
  <c r="G90" i="7" s="1"/>
  <c r="H90" i="7" s="1"/>
  <c r="F90" i="7"/>
  <c r="F91" i="7" l="1"/>
  <c r="C91" i="7"/>
  <c r="D91" i="7"/>
  <c r="G91" i="7" s="1"/>
  <c r="H91" i="7" s="1"/>
  <c r="F92" i="7" l="1"/>
  <c r="D92" i="7"/>
  <c r="G92" i="7" s="1"/>
  <c r="C92" i="7"/>
  <c r="H92" i="7" l="1"/>
  <c r="H12" i="7"/>
  <c r="H13" i="7" l="1"/>
  <c r="F93" i="7"/>
  <c r="H10" i="7" s="1"/>
  <c r="D93" i="7"/>
  <c r="C93" i="7"/>
  <c r="H9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14" authorId="0" shapeId="0" xr:uid="{15026614-0DA6-422E-B242-4A35156FAC10}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Intrest = Balance * Rate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19" authorId="0" shapeId="0" xr:uid="{4C5C0ADD-859C-43CE-A3BB-4EEA2BE31B1D}">
      <text>
        <r>
          <rPr>
            <b/>
            <sz val="9"/>
            <color indexed="81"/>
            <rFont val="Tahoma"/>
            <charset val="1"/>
          </rPr>
          <t>user:</t>
        </r>
        <r>
          <rPr>
            <sz val="9"/>
            <color indexed="81"/>
            <rFont val="Tahoma"/>
            <charset val="1"/>
          </rPr>
          <t xml:space="preserve">
Intrest = Balance * Rate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<sst xmlns="http://schemas.openxmlformats.org/spreadsheetml/2006/main" count="80" uniqueCount="41">
  <si>
    <t>Loan Amount</t>
  </si>
  <si>
    <t>Annual Interest Rate</t>
  </si>
  <si>
    <t>Loan Information</t>
  </si>
  <si>
    <t>Rate (per period)</t>
  </si>
  <si>
    <t>Total Payments</t>
  </si>
  <si>
    <t>Total Interest Paid</t>
  </si>
  <si>
    <t>Total Principal Paid</t>
  </si>
  <si>
    <t>Principal Remaining</t>
  </si>
  <si>
    <t>Loan Amortization Table with Extra Payments</t>
  </si>
  <si>
    <t>Start Date of Loan</t>
  </si>
  <si>
    <t>Monthly Interest Rate</t>
  </si>
  <si>
    <t>Number of Years</t>
  </si>
  <si>
    <t>Number of Months</t>
  </si>
  <si>
    <t>Balance</t>
  </si>
  <si>
    <t>Loan Summary</t>
  </si>
  <si>
    <t>Amortization Schedule</t>
  </si>
  <si>
    <t>Principal Paid</t>
  </si>
  <si>
    <t>Monthly Payment</t>
  </si>
  <si>
    <t>Payment Due</t>
  </si>
  <si>
    <t>Additional Payment</t>
  </si>
  <si>
    <t>No</t>
  </si>
  <si>
    <t>Due Date</t>
  </si>
  <si>
    <t>Interest Paid</t>
  </si>
  <si>
    <t>Loan Sanction Date</t>
  </si>
  <si>
    <t>Interest Rate</t>
  </si>
  <si>
    <t>Monthly Interest Fixed Rate</t>
  </si>
  <si>
    <t>Interest</t>
  </si>
  <si>
    <t>Total Additional Payment done</t>
  </si>
  <si>
    <t>Loan Amortization Table with Flat  Rate</t>
  </si>
  <si>
    <t>interest rate</t>
  </si>
  <si>
    <t>Years</t>
  </si>
  <si>
    <t>Tenure (yrs)</t>
  </si>
  <si>
    <t>Tenure (months)</t>
  </si>
  <si>
    <t>Sanction Date</t>
  </si>
  <si>
    <t>Start Date</t>
  </si>
  <si>
    <t>Tenure (Yrs)</t>
  </si>
  <si>
    <t>Reducing Interest Loan</t>
  </si>
  <si>
    <t>Flat Interest Loan</t>
  </si>
  <si>
    <t>Loan Category</t>
  </si>
  <si>
    <t>REDUCING INTEREST RATE</t>
  </si>
  <si>
    <t>FLAT INTEREST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</si>
</sst>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₹&quot;\ #,##0.00;[Red]&quot;₹&quot;\ \-#,##0.00"/>
    <numFmt numFmtId="164" formatCode="&quot;₹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28"/>
      <color theme="0"/>
      <name val="Calibri Light"/>
      <family val="2"/>
      <scheme val="major"/>
    </font>
    <font>
      <sz val="14"/>
      <color theme="1" tint="4.9989318521683403E-2"/>
      <name val="Calibri Light"/>
      <family val="2"/>
      <scheme val="major"/>
    </font>
    <font>
      <sz val="14"/>
      <color theme="1"/>
      <name val="Calibri Light"/>
      <family val="2"/>
      <scheme val="major"/>
    </font>
    <font>
      <sz val="14"/>
      <color theme="1"/>
      <name val="Calibri"/>
      <family val="2"/>
      <scheme val="minor"/>
    </font>
    <font>
      <b/>
      <sz val="14"/>
      <color theme="0"/>
      <name val="Calibri Light"/>
      <family val="2"/>
      <scheme val="major"/>
    </font>
    <font>
      <sz val="14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2"/>
      <color theme="1" tint="0.249977111117893"/>
      <name val="Calibri Light"/>
      <family val="2"/>
      <scheme val="major"/>
    </font>
    <font>
      <sz val="12"/>
      <color theme="1" tint="0.249977111117893"/>
      <name val="Calibri"/>
      <family val="2"/>
      <scheme val="minor"/>
    </font>
    <font>
      <b/>
      <sz val="12"/>
      <color theme="1" tint="0.34998626667073579"/>
      <name val="Calibri Light"/>
      <family val="2"/>
      <scheme val="major"/>
    </font>
    <font>
      <b/>
      <sz val="11"/>
      <color theme="1" tint="0.34998626667073579"/>
      <name val="Calibri Light"/>
      <family val="2"/>
      <scheme val="major"/>
    </font>
    <font>
      <b/>
      <sz val="18"/>
      <color theme="0"/>
      <name val="Calibri Light"/>
      <family val="2"/>
      <scheme val="maj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856CD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249977111117893"/>
        <bgColor indexed="64"/>
      </patternFill>
    </fill>
  </fills>
  <borders count="31">
    <border>
      <left/>
      <right/>
      <top/>
      <bottom/>
      <diagonal/>
    </border>
    <border>
      <left style="dashDotDot">
        <color theme="4" tint="-0.499984740745262"/>
      </left>
      <right style="dashDotDot">
        <color theme="4" tint="-0.499984740745262"/>
      </right>
      <top/>
      <bottom style="dashDotDot">
        <color theme="4" tint="-0.499984740745262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indexed="64"/>
      </right>
      <top style="medium">
        <color rgb="FF002060"/>
      </top>
      <bottom style="medium">
        <color rgb="FF002060"/>
      </bottom>
      <diagonal/>
    </border>
    <border>
      <left style="thin">
        <color indexed="64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/>
      <diagonal/>
    </border>
    <border>
      <left style="medium">
        <color rgb="FF002060"/>
      </left>
      <right style="medium">
        <color rgb="FF002060"/>
      </right>
      <top/>
      <bottom/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indexed="64"/>
      </right>
      <top/>
      <bottom/>
      <diagonal/>
    </border>
    <border>
      <left style="medium">
        <color rgb="FF002060"/>
      </left>
      <right style="dashDotDot">
        <color theme="0"/>
      </right>
      <top style="medium">
        <color theme="0"/>
      </top>
      <bottom style="medium">
        <color rgb="FF002060"/>
      </bottom>
      <diagonal/>
    </border>
    <border>
      <left style="medium">
        <color theme="0"/>
      </left>
      <right style="dashDotDot">
        <color theme="0"/>
      </right>
      <top style="medium">
        <color theme="0"/>
      </top>
      <bottom style="medium">
        <color rgb="FF002060"/>
      </bottom>
      <diagonal/>
    </border>
    <border>
      <left style="dashDotDot">
        <color theme="0"/>
      </left>
      <right style="dashDotDot">
        <color theme="0"/>
      </right>
      <top style="medium">
        <color theme="0"/>
      </top>
      <bottom style="medium">
        <color rgb="FF002060"/>
      </bottom>
      <diagonal/>
    </border>
    <border>
      <left style="dashDotDot">
        <color theme="0"/>
      </left>
      <right style="medium">
        <color rgb="FF002060"/>
      </right>
      <top style="medium">
        <color theme="0"/>
      </top>
      <bottom style="medium">
        <color rgb="FF002060"/>
      </bottom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rgb="FF002060"/>
      </left>
      <right/>
      <top/>
      <bottom style="dashed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9">
    <xf numFmtId="0" fontId="0" fillId="0" borderId="0" xfId="0"/>
    <xf numFmtId="164" fontId="6" fillId="0" borderId="1" xfId="0" applyNumberFormat="1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0" fontId="5" fillId="0" borderId="6" xfId="0" applyFont="1" applyBorder="1"/>
    <xf numFmtId="164" fontId="6" fillId="4" borderId="1" xfId="0" applyNumberFormat="1" applyFont="1" applyFill="1" applyBorder="1" applyAlignment="1">
      <alignment horizontal="center"/>
    </xf>
    <xf numFmtId="14" fontId="6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/>
    <xf numFmtId="0" fontId="2" fillId="0" borderId="0" xfId="0" applyFont="1"/>
    <xf numFmtId="0" fontId="4" fillId="0" borderId="0" xfId="0" applyFont="1" applyAlignment="1">
      <alignment horizontal="right"/>
    </xf>
    <xf numFmtId="0" fontId="7" fillId="0" borderId="8" xfId="0" applyFont="1" applyBorder="1" applyAlignment="1">
      <alignment horizontal="center"/>
    </xf>
    <xf numFmtId="1" fontId="5" fillId="0" borderId="13" xfId="0" applyNumberFormat="1" applyFont="1" applyBorder="1"/>
    <xf numFmtId="0" fontId="4" fillId="0" borderId="14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0" borderId="15" xfId="0" applyFont="1" applyBorder="1" applyAlignment="1">
      <alignment horizontal="right"/>
    </xf>
    <xf numFmtId="164" fontId="5" fillId="0" borderId="9" xfId="0" applyNumberFormat="1" applyFont="1" applyBorder="1"/>
    <xf numFmtId="0" fontId="0" fillId="0" borderId="6" xfId="0" applyBorder="1"/>
    <xf numFmtId="10" fontId="5" fillId="0" borderId="10" xfId="1" applyNumberFormat="1" applyFont="1" applyFill="1" applyBorder="1" applyAlignment="1">
      <alignment horizontal="right"/>
    </xf>
    <xf numFmtId="14" fontId="5" fillId="0" borderId="17" xfId="0" applyNumberFormat="1" applyFont="1" applyBorder="1" applyAlignment="1">
      <alignment horizontal="right"/>
    </xf>
    <xf numFmtId="1" fontId="5" fillId="0" borderId="10" xfId="0" applyNumberFormat="1" applyFont="1" applyBorder="1" applyAlignment="1">
      <alignment horizontal="right"/>
    </xf>
    <xf numFmtId="164" fontId="5" fillId="0" borderId="14" xfId="0" applyNumberFormat="1" applyFont="1" applyBorder="1" applyAlignment="1">
      <alignment horizontal="right"/>
    </xf>
    <xf numFmtId="10" fontId="5" fillId="0" borderId="10" xfId="0" applyNumberFormat="1" applyFont="1" applyBorder="1" applyAlignment="1">
      <alignment horizontal="right"/>
    </xf>
    <xf numFmtId="164" fontId="7" fillId="2" borderId="10" xfId="0" applyNumberFormat="1" applyFont="1" applyFill="1" applyBorder="1" applyAlignment="1">
      <alignment horizontal="right"/>
    </xf>
    <xf numFmtId="0" fontId="0" fillId="0" borderId="3" xfId="0" applyBorder="1"/>
    <xf numFmtId="0" fontId="2" fillId="0" borderId="6" xfId="0" applyFont="1" applyBorder="1"/>
    <xf numFmtId="0" fontId="7" fillId="0" borderId="9" xfId="0" applyFont="1" applyBorder="1" applyAlignment="1">
      <alignment horizontal="center"/>
    </xf>
    <xf numFmtId="10" fontId="5" fillId="0" borderId="6" xfId="1" applyNumberFormat="1" applyFont="1" applyBorder="1"/>
    <xf numFmtId="0" fontId="7" fillId="0" borderId="8" xfId="0" applyFont="1" applyBorder="1" applyAlignment="1">
      <alignment horizontal="right"/>
    </xf>
    <xf numFmtId="164" fontId="7" fillId="0" borderId="8" xfId="0" applyNumberFormat="1" applyFont="1" applyBorder="1" applyAlignment="1">
      <alignment horizontal="right"/>
    </xf>
    <xf numFmtId="0" fontId="5" fillId="0" borderId="8" xfId="0" applyFont="1" applyBorder="1"/>
    <xf numFmtId="0" fontId="4" fillId="0" borderId="8" xfId="0" applyFont="1" applyBorder="1" applyAlignment="1">
      <alignment horizontal="right"/>
    </xf>
    <xf numFmtId="0" fontId="5" fillId="0" borderId="9" xfId="0" applyFont="1" applyBorder="1"/>
    <xf numFmtId="0" fontId="0" fillId="5" borderId="0" xfId="0" applyFill="1"/>
    <xf numFmtId="0" fontId="8" fillId="3" borderId="20" xfId="0" applyFont="1" applyFill="1" applyBorder="1" applyAlignment="1">
      <alignment horizontal="center"/>
    </xf>
    <xf numFmtId="0" fontId="8" fillId="3" borderId="21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23" xfId="0" applyFont="1" applyFill="1" applyBorder="1" applyAlignment="1">
      <alignment horizontal="center"/>
    </xf>
    <xf numFmtId="14" fontId="5" fillId="0" borderId="0" xfId="0" applyNumberFormat="1" applyFont="1"/>
    <xf numFmtId="14" fontId="5" fillId="0" borderId="0" xfId="0" applyNumberFormat="1" applyFont="1" applyAlignment="1">
      <alignment horizontal="center"/>
    </xf>
    <xf numFmtId="14" fontId="5" fillId="0" borderId="10" xfId="1" applyNumberFormat="1" applyFont="1" applyFill="1" applyBorder="1" applyAlignment="1">
      <alignment horizontal="right"/>
    </xf>
    <xf numFmtId="0" fontId="0" fillId="0" borderId="4" xfId="0" applyBorder="1"/>
    <xf numFmtId="0" fontId="0" fillId="6" borderId="0" xfId="0" applyFill="1"/>
    <xf numFmtId="0" fontId="0" fillId="2" borderId="0" xfId="0" applyFill="1"/>
    <xf numFmtId="0" fontId="0" fillId="0" borderId="5" xfId="0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4" xfId="0" applyFill="1" applyBorder="1"/>
    <xf numFmtId="0" fontId="0" fillId="7" borderId="0" xfId="0" applyFill="1"/>
    <xf numFmtId="0" fontId="6" fillId="6" borderId="0" xfId="0" applyFont="1" applyFill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/>
    </xf>
    <xf numFmtId="164" fontId="5" fillId="0" borderId="13" xfId="0" applyNumberFormat="1" applyFont="1" applyBorder="1"/>
    <xf numFmtId="2" fontId="12" fillId="8" borderId="25" xfId="0" applyNumberFormat="1" applyFont="1" applyFill="1" applyBorder="1" applyProtection="1">
      <protection locked="0"/>
    </xf>
    <xf numFmtId="10" fontId="12" fillId="8" borderId="25" xfId="1" applyNumberFormat="1" applyFont="1" applyFill="1" applyBorder="1" applyProtection="1">
      <protection locked="0"/>
    </xf>
    <xf numFmtId="1" fontId="12" fillId="8" borderId="25" xfId="0" applyNumberFormat="1" applyFont="1" applyFill="1" applyBorder="1" applyProtection="1">
      <protection locked="0"/>
    </xf>
    <xf numFmtId="14" fontId="12" fillId="8" borderId="25" xfId="0" applyNumberFormat="1" applyFont="1" applyFill="1" applyBorder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3" fillId="0" borderId="0" xfId="0" applyFont="1" applyAlignment="1" applyProtection="1">
      <alignment vertical="center"/>
      <protection locked="0"/>
    </xf>
    <xf numFmtId="10" fontId="11" fillId="0" borderId="0" xfId="0" applyNumberFormat="1" applyFont="1" applyProtection="1">
      <protection locked="0"/>
    </xf>
    <xf numFmtId="0" fontId="14" fillId="2" borderId="26" xfId="0" applyFont="1" applyFill="1" applyBorder="1" applyAlignment="1" applyProtection="1">
      <alignment horizontal="right" vertical="center"/>
      <protection locked="0"/>
    </xf>
    <xf numFmtId="0" fontId="14" fillId="10" borderId="27" xfId="0" applyFont="1" applyFill="1" applyBorder="1" applyAlignment="1" applyProtection="1">
      <alignment horizontal="center" vertical="center"/>
      <protection locked="0"/>
    </xf>
    <xf numFmtId="0" fontId="14" fillId="2" borderId="27" xfId="0" applyFont="1" applyFill="1" applyBorder="1" applyAlignment="1" applyProtection="1">
      <alignment horizontal="right" vertical="center"/>
      <protection locked="0"/>
    </xf>
    <xf numFmtId="2" fontId="12" fillId="0" borderId="25" xfId="0" applyNumberFormat="1" applyFont="1" applyBorder="1" applyProtection="1">
      <protection locked="0"/>
    </xf>
    <xf numFmtId="10" fontId="12" fillId="0" borderId="25" xfId="0" applyNumberFormat="1" applyFont="1" applyBorder="1" applyProtection="1">
      <protection locked="0"/>
    </xf>
    <xf numFmtId="1" fontId="12" fillId="0" borderId="25" xfId="0" applyNumberFormat="1" applyFont="1" applyBorder="1" applyProtection="1">
      <protection locked="0"/>
    </xf>
    <xf numFmtId="14" fontId="12" fillId="0" borderId="25" xfId="0" applyNumberFormat="1" applyFont="1" applyBorder="1" applyProtection="1">
      <protection locked="0"/>
    </xf>
    <xf numFmtId="0" fontId="14" fillId="9" borderId="26" xfId="0" applyFont="1" applyFill="1" applyBorder="1" applyAlignment="1" applyProtection="1">
      <alignment horizontal="right" vertical="center"/>
      <protection locked="0"/>
    </xf>
    <xf numFmtId="8" fontId="14" fillId="9" borderId="25" xfId="0" applyNumberFormat="1" applyFont="1" applyFill="1" applyBorder="1" applyProtection="1">
      <protection locked="0"/>
    </xf>
    <xf numFmtId="0" fontId="6" fillId="0" borderId="0" xfId="0" applyFont="1" applyProtection="1">
      <protection locked="0"/>
    </xf>
    <xf numFmtId="10" fontId="6" fillId="0" borderId="0" xfId="0" applyNumberFormat="1" applyFont="1" applyProtection="1">
      <protection locked="0"/>
    </xf>
    <xf numFmtId="0" fontId="8" fillId="3" borderId="28" xfId="0" applyFont="1" applyFill="1" applyBorder="1" applyAlignment="1" applyProtection="1">
      <alignment horizontal="center"/>
      <protection locked="0"/>
    </xf>
    <xf numFmtId="0" fontId="11" fillId="11" borderId="0" xfId="0" applyFont="1" applyFill="1" applyProtection="1">
      <protection locked="0"/>
    </xf>
    <xf numFmtId="0" fontId="11" fillId="0" borderId="28" xfId="0" applyFont="1" applyBorder="1" applyAlignment="1" applyProtection="1">
      <alignment horizontal="center"/>
      <protection locked="0"/>
    </xf>
    <xf numFmtId="0" fontId="11" fillId="0" borderId="28" xfId="0" applyFont="1" applyBorder="1" applyProtection="1">
      <protection locked="0"/>
    </xf>
    <xf numFmtId="8" fontId="15" fillId="0" borderId="28" xfId="0" applyNumberFormat="1" applyFont="1" applyBorder="1" applyAlignment="1" applyProtection="1">
      <alignment vertical="center"/>
      <protection locked="0"/>
    </xf>
    <xf numFmtId="0" fontId="17" fillId="0" borderId="28" xfId="0" applyFont="1" applyBorder="1" applyProtection="1">
      <protection locked="0"/>
    </xf>
    <xf numFmtId="164" fontId="17" fillId="0" borderId="28" xfId="0" applyNumberFormat="1" applyFont="1" applyBorder="1" applyProtection="1">
      <protection locked="0"/>
    </xf>
    <xf numFmtId="14" fontId="15" fillId="0" borderId="28" xfId="0" applyNumberFormat="1" applyFont="1" applyBorder="1" applyAlignment="1" applyProtection="1">
      <alignment vertical="center"/>
      <protection locked="0"/>
    </xf>
    <xf numFmtId="14" fontId="17" fillId="0" borderId="28" xfId="0" applyNumberFormat="1" applyFont="1" applyBorder="1" applyProtection="1">
      <protection locked="0"/>
    </xf>
    <xf numFmtId="14" fontId="15" fillId="0" borderId="28" xfId="0" applyNumberFormat="1" applyFont="1" applyBorder="1" applyProtection="1">
      <protection locked="0"/>
    </xf>
    <xf numFmtId="164" fontId="15" fillId="0" borderId="28" xfId="0" applyNumberFormat="1" applyFont="1" applyBorder="1" applyProtection="1">
      <protection locked="0"/>
    </xf>
    <xf numFmtId="0" fontId="16" fillId="0" borderId="28" xfId="0" applyFont="1" applyBorder="1" applyProtection="1">
      <protection locked="0"/>
    </xf>
    <xf numFmtId="0" fontId="0" fillId="11" borderId="0" xfId="0" applyFill="1" applyProtection="1">
      <protection locked="0"/>
    </xf>
    <xf numFmtId="0" fontId="18" fillId="0" borderId="28" xfId="0" applyFont="1" applyBorder="1" applyProtection="1">
      <protection locked="0"/>
    </xf>
    <xf numFmtId="14" fontId="11" fillId="0" borderId="28" xfId="0" applyNumberFormat="1" applyFont="1" applyBorder="1" applyProtection="1">
      <protection locked="0"/>
    </xf>
    <xf numFmtId="164" fontId="11" fillId="0" borderId="28" xfId="0" applyNumberFormat="1" applyFont="1" applyBorder="1" applyProtection="1">
      <protection locked="0"/>
    </xf>
    <xf numFmtId="0" fontId="0" fillId="0" borderId="28" xfId="0" applyBorder="1" applyProtection="1">
      <protection locked="0"/>
    </xf>
    <xf numFmtId="0" fontId="0" fillId="0" borderId="0" xfId="0" applyProtection="1">
      <protection locked="0"/>
    </xf>
    <xf numFmtId="0" fontId="19" fillId="3" borderId="5" xfId="0" applyFont="1" applyFill="1" applyBorder="1" applyAlignment="1" applyProtection="1">
      <alignment horizontal="center"/>
      <protection locked="0"/>
    </xf>
    <xf numFmtId="0" fontId="19" fillId="3" borderId="0" xfId="0" applyFont="1" applyFill="1" applyAlignment="1" applyProtection="1">
      <alignment horizontal="center"/>
      <protection locked="0"/>
    </xf>
    <xf numFmtId="0" fontId="19" fillId="3" borderId="30" xfId="0" applyFont="1" applyFill="1" applyBorder="1" applyAlignment="1" applyProtection="1">
      <alignment horizontal="center"/>
      <protection locked="0"/>
    </xf>
    <xf numFmtId="0" fontId="19" fillId="3" borderId="29" xfId="0" applyFont="1" applyFill="1" applyBorder="1" applyAlignment="1" applyProtection="1">
      <alignment horizontal="center"/>
      <protection locked="0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5" fillId="0" borderId="11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0" fontId="5" fillId="0" borderId="16" xfId="0" applyFont="1" applyBorder="1" applyAlignment="1">
      <alignment horizontal="right"/>
    </xf>
    <xf numFmtId="0" fontId="7" fillId="2" borderId="18" xfId="0" applyFont="1" applyFill="1" applyBorder="1" applyAlignment="1">
      <alignment horizontal="right"/>
    </xf>
    <xf numFmtId="0" fontId="7" fillId="2" borderId="13" xfId="0" applyFont="1" applyFill="1" applyBorder="1" applyAlignment="1">
      <alignment horizontal="right"/>
    </xf>
    <xf numFmtId="0" fontId="3" fillId="2" borderId="0" xfId="0" applyFont="1" applyFill="1" applyAlignment="1">
      <alignment horizontal="center" vertical="center"/>
    </xf>
    <xf numFmtId="0" fontId="7" fillId="2" borderId="5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856C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Loan Amortization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363845144356956"/>
          <c:y val="9.4595546074668954E-2"/>
          <c:w val="0.78976618547681543"/>
          <c:h val="0.614984324876057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'Flat Interest Rate'!$D$19</c:f>
              <c:strCache>
                <c:ptCount val="1"/>
                <c:pt idx="0">
                  <c:v>Payment Due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'Flat Interest Rate'!$D$20:$D$50</c:f>
              <c:numCache>
                <c:formatCode>"₹"\ #,##0.00</c:formatCode>
                <c:ptCount val="31"/>
                <c:pt idx="1">
                  <c:v>5728.5157464912763</c:v>
                </c:pt>
                <c:pt idx="2">
                  <c:v>5728.5157464912763</c:v>
                </c:pt>
                <c:pt idx="3">
                  <c:v>5728.5157464912763</c:v>
                </c:pt>
                <c:pt idx="4">
                  <c:v>5728.5157464912763</c:v>
                </c:pt>
                <c:pt idx="5">
                  <c:v>5728.5157464912763</c:v>
                </c:pt>
                <c:pt idx="6">
                  <c:v>5728.5157464912763</c:v>
                </c:pt>
                <c:pt idx="7">
                  <c:v>5728.5157464912763</c:v>
                </c:pt>
                <c:pt idx="8">
                  <c:v>5728.5157464912763</c:v>
                </c:pt>
                <c:pt idx="9">
                  <c:v>5728.5157464912763</c:v>
                </c:pt>
                <c:pt idx="10">
                  <c:v>5728.5157464912763</c:v>
                </c:pt>
                <c:pt idx="11">
                  <c:v>5728.5157464912763</c:v>
                </c:pt>
                <c:pt idx="12">
                  <c:v>5728.5157464912763</c:v>
                </c:pt>
                <c:pt idx="13">
                  <c:v>5728.5157464912763</c:v>
                </c:pt>
                <c:pt idx="14">
                  <c:v>5728.5157464912763</c:v>
                </c:pt>
                <c:pt idx="15">
                  <c:v>5728.5157464912763</c:v>
                </c:pt>
                <c:pt idx="16">
                  <c:v>5728.5157464912763</c:v>
                </c:pt>
                <c:pt idx="17">
                  <c:v>5728.5157464912763</c:v>
                </c:pt>
                <c:pt idx="18">
                  <c:v>5728.5157464912763</c:v>
                </c:pt>
                <c:pt idx="19">
                  <c:v>5728.5157464912763</c:v>
                </c:pt>
                <c:pt idx="20">
                  <c:v>5728.5157464912763</c:v>
                </c:pt>
                <c:pt idx="21">
                  <c:v>5728.5157464912763</c:v>
                </c:pt>
                <c:pt idx="22">
                  <c:v>5728.5157464912763</c:v>
                </c:pt>
                <c:pt idx="23">
                  <c:v>5728.5157464912763</c:v>
                </c:pt>
                <c:pt idx="24">
                  <c:v>5728.5157464912763</c:v>
                </c:pt>
                <c:pt idx="25">
                  <c:v>5728.5157464912763</c:v>
                </c:pt>
                <c:pt idx="26">
                  <c:v>5728.5157464912763</c:v>
                </c:pt>
                <c:pt idx="27">
                  <c:v>5728.5157464912763</c:v>
                </c:pt>
                <c:pt idx="28">
                  <c:v>5728.5157464912763</c:v>
                </c:pt>
                <c:pt idx="29">
                  <c:v>5728.5157464912763</c:v>
                </c:pt>
                <c:pt idx="30">
                  <c:v>5728.5157464912763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95-42E1-AFC1-75D87A7F3BBE}"/>
            </c:ext>
          </c:extLst>
        </c:ser>
        <c:ser>
          <c:idx val="1"/>
          <c:order val="1"/>
          <c:tx>
            <c:strRef>
              <c:f>'Flat Interest Rate'!$E$19</c:f>
              <c:strCache>
                <c:ptCount val="1"/>
                <c:pt idx="0">
                  <c:v>Additional Payment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'Flat Interest Rate'!$E$20:$E$50</c:f>
              <c:numCache>
                <c:formatCode>"₹"\ #,##0.00</c:formatCode>
                <c:ptCount val="3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95-42E1-AFC1-75D87A7F3BBE}"/>
            </c:ext>
          </c:extLst>
        </c:ser>
        <c:ser>
          <c:idx val="2"/>
          <c:order val="2"/>
          <c:tx>
            <c:strRef>
              <c:f>'Flat Interest Rate'!$F$19</c:f>
              <c:strCache>
                <c:ptCount val="1"/>
                <c:pt idx="0">
                  <c:v>Interest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'Flat Interest Rate'!$F$20:$F$50</c:f>
              <c:numCache>
                <c:formatCode>"₹"\ #,##0.00</c:formatCode>
                <c:ptCount val="31"/>
                <c:pt idx="1">
                  <c:v>333.33333333333337</c:v>
                </c:pt>
                <c:pt idx="2">
                  <c:v>333.33333333333337</c:v>
                </c:pt>
                <c:pt idx="3">
                  <c:v>333.33333333333337</c:v>
                </c:pt>
                <c:pt idx="4">
                  <c:v>333.33333333333337</c:v>
                </c:pt>
                <c:pt idx="5">
                  <c:v>333.33333333333337</c:v>
                </c:pt>
                <c:pt idx="6">
                  <c:v>333.33333333333337</c:v>
                </c:pt>
                <c:pt idx="7">
                  <c:v>333.33333333333337</c:v>
                </c:pt>
                <c:pt idx="8">
                  <c:v>333.33333333333337</c:v>
                </c:pt>
                <c:pt idx="9">
                  <c:v>333.33333333333337</c:v>
                </c:pt>
                <c:pt idx="10">
                  <c:v>333.33333333333337</c:v>
                </c:pt>
                <c:pt idx="11">
                  <c:v>333.33333333333337</c:v>
                </c:pt>
                <c:pt idx="12">
                  <c:v>333.33333333333337</c:v>
                </c:pt>
                <c:pt idx="13">
                  <c:v>333.33333333333337</c:v>
                </c:pt>
                <c:pt idx="14">
                  <c:v>333.33333333333337</c:v>
                </c:pt>
                <c:pt idx="15">
                  <c:v>333.33333333333337</c:v>
                </c:pt>
                <c:pt idx="16">
                  <c:v>333.33333333333337</c:v>
                </c:pt>
                <c:pt idx="17">
                  <c:v>333.33333333333337</c:v>
                </c:pt>
                <c:pt idx="18">
                  <c:v>333.33333333333337</c:v>
                </c:pt>
                <c:pt idx="19">
                  <c:v>333.33333333333337</c:v>
                </c:pt>
                <c:pt idx="20">
                  <c:v>333.33333333333337</c:v>
                </c:pt>
                <c:pt idx="21">
                  <c:v>333.33333333333337</c:v>
                </c:pt>
                <c:pt idx="22">
                  <c:v>333.33333333333337</c:v>
                </c:pt>
                <c:pt idx="23">
                  <c:v>333.33333333333337</c:v>
                </c:pt>
                <c:pt idx="24">
                  <c:v>333.33333333333337</c:v>
                </c:pt>
                <c:pt idx="25">
                  <c:v>333.33333333333337</c:v>
                </c:pt>
                <c:pt idx="26">
                  <c:v>333.33333333333337</c:v>
                </c:pt>
                <c:pt idx="27">
                  <c:v>333.33333333333337</c:v>
                </c:pt>
                <c:pt idx="28">
                  <c:v>333.33333333333337</c:v>
                </c:pt>
                <c:pt idx="29">
                  <c:v>333.33333333333337</c:v>
                </c:pt>
                <c:pt idx="30">
                  <c:v>333.33333333333337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95-42E1-AFC1-75D87A7F3BBE}"/>
            </c:ext>
          </c:extLst>
        </c:ser>
        <c:ser>
          <c:idx val="3"/>
          <c:order val="3"/>
          <c:tx>
            <c:strRef>
              <c:f>'Flat Interest Rate'!$G$19</c:f>
              <c:strCache>
                <c:ptCount val="1"/>
                <c:pt idx="0">
                  <c:v>Principal Paid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'Flat Interest Rate'!$G$20:$G$50</c:f>
              <c:numCache>
                <c:formatCode>"₹"\ #,##0.00</c:formatCode>
                <c:ptCount val="31"/>
                <c:pt idx="1">
                  <c:v>5728.5157464912763</c:v>
                </c:pt>
                <c:pt idx="2">
                  <c:v>5728.5157464912763</c:v>
                </c:pt>
                <c:pt idx="3">
                  <c:v>5728.5157464912763</c:v>
                </c:pt>
                <c:pt idx="4">
                  <c:v>5728.5157464912763</c:v>
                </c:pt>
                <c:pt idx="5">
                  <c:v>5728.5157464912763</c:v>
                </c:pt>
                <c:pt idx="6">
                  <c:v>5728.5157464912763</c:v>
                </c:pt>
                <c:pt idx="7">
                  <c:v>5728.5157464912763</c:v>
                </c:pt>
                <c:pt idx="8">
                  <c:v>5728.5157464912763</c:v>
                </c:pt>
                <c:pt idx="9">
                  <c:v>5728.5157464912763</c:v>
                </c:pt>
                <c:pt idx="10">
                  <c:v>5728.5157464912763</c:v>
                </c:pt>
                <c:pt idx="11">
                  <c:v>5728.5157464912763</c:v>
                </c:pt>
                <c:pt idx="12">
                  <c:v>5728.5157464912763</c:v>
                </c:pt>
                <c:pt idx="13">
                  <c:v>5728.5157464912763</c:v>
                </c:pt>
                <c:pt idx="14">
                  <c:v>5728.5157464912763</c:v>
                </c:pt>
                <c:pt idx="15">
                  <c:v>5728.5157464912763</c:v>
                </c:pt>
                <c:pt idx="16">
                  <c:v>5728.5157464912763</c:v>
                </c:pt>
                <c:pt idx="17">
                  <c:v>5728.5157464912763</c:v>
                </c:pt>
                <c:pt idx="18">
                  <c:v>5728.5157464912763</c:v>
                </c:pt>
                <c:pt idx="19">
                  <c:v>5728.5157464912763</c:v>
                </c:pt>
                <c:pt idx="20">
                  <c:v>5728.5157464912763</c:v>
                </c:pt>
                <c:pt idx="21">
                  <c:v>5728.5157464912763</c:v>
                </c:pt>
                <c:pt idx="22">
                  <c:v>5728.5157464912763</c:v>
                </c:pt>
                <c:pt idx="23">
                  <c:v>5728.5157464912763</c:v>
                </c:pt>
                <c:pt idx="24">
                  <c:v>5728.5157464912763</c:v>
                </c:pt>
                <c:pt idx="25">
                  <c:v>5728.5157464912763</c:v>
                </c:pt>
                <c:pt idx="26">
                  <c:v>5728.5157464912763</c:v>
                </c:pt>
                <c:pt idx="27">
                  <c:v>5728.5157464912763</c:v>
                </c:pt>
                <c:pt idx="28">
                  <c:v>5728.5157464912763</c:v>
                </c:pt>
                <c:pt idx="29">
                  <c:v>5728.5157464912763</c:v>
                </c:pt>
                <c:pt idx="30">
                  <c:v>5728.5157464912763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95-42E1-AFC1-75D87A7F3BBE}"/>
            </c:ext>
          </c:extLst>
        </c:ser>
        <c:ser>
          <c:idx val="4"/>
          <c:order val="4"/>
          <c:tx>
            <c:strRef>
              <c:f>'Flat Interest Rate'!$H$19</c:f>
              <c:strCache>
                <c:ptCount val="1"/>
                <c:pt idx="0">
                  <c:v>Balance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'Flat Interest Rate'!$H$20:$H$50</c:f>
              <c:numCache>
                <c:formatCode>"₹"\ #,##0.00</c:formatCode>
                <c:ptCount val="31"/>
                <c:pt idx="0">
                  <c:v>200000</c:v>
                </c:pt>
                <c:pt idx="1">
                  <c:v>194271.48425350874</c:v>
                </c:pt>
                <c:pt idx="2">
                  <c:v>188542.96850701747</c:v>
                </c:pt>
                <c:pt idx="3">
                  <c:v>182814.45276052621</c:v>
                </c:pt>
                <c:pt idx="4">
                  <c:v>177085.93701403495</c:v>
                </c:pt>
                <c:pt idx="5">
                  <c:v>171357.42126754369</c:v>
                </c:pt>
                <c:pt idx="6">
                  <c:v>165628.90552105242</c:v>
                </c:pt>
                <c:pt idx="7">
                  <c:v>159900.38977456116</c:v>
                </c:pt>
                <c:pt idx="8">
                  <c:v>154171.8740280699</c:v>
                </c:pt>
                <c:pt idx="9">
                  <c:v>148443.35828157864</c:v>
                </c:pt>
                <c:pt idx="10">
                  <c:v>142714.84253508737</c:v>
                </c:pt>
                <c:pt idx="11">
                  <c:v>136986.32678859611</c:v>
                </c:pt>
                <c:pt idx="12">
                  <c:v>131257.81104210485</c:v>
                </c:pt>
                <c:pt idx="13">
                  <c:v>125529.29529561357</c:v>
                </c:pt>
                <c:pt idx="14">
                  <c:v>119800.77954912229</c:v>
                </c:pt>
                <c:pt idx="15">
                  <c:v>114072.26380263102</c:v>
                </c:pt>
                <c:pt idx="16">
                  <c:v>108343.74805613974</c:v>
                </c:pt>
                <c:pt idx="17">
                  <c:v>102615.23230964846</c:v>
                </c:pt>
                <c:pt idx="18">
                  <c:v>96886.716563157184</c:v>
                </c:pt>
                <c:pt idx="19">
                  <c:v>91158.200816665907</c:v>
                </c:pt>
                <c:pt idx="20">
                  <c:v>85429.68507017463</c:v>
                </c:pt>
                <c:pt idx="21">
                  <c:v>79701.169323683353</c:v>
                </c:pt>
                <c:pt idx="22">
                  <c:v>73972.653577192075</c:v>
                </c:pt>
                <c:pt idx="23">
                  <c:v>68244.137830700798</c:v>
                </c:pt>
                <c:pt idx="24">
                  <c:v>62515.622084209521</c:v>
                </c:pt>
                <c:pt idx="25">
                  <c:v>56787.106337718244</c:v>
                </c:pt>
                <c:pt idx="26">
                  <c:v>51058.590591226966</c:v>
                </c:pt>
                <c:pt idx="27">
                  <c:v>45330.074844735689</c:v>
                </c:pt>
                <c:pt idx="28">
                  <c:v>39601.559098244412</c:v>
                </c:pt>
                <c:pt idx="29">
                  <c:v>33873.043351753135</c:v>
                </c:pt>
                <c:pt idx="30">
                  <c:v>28144.527605261857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95-42E1-AFC1-75D87A7F3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5335968"/>
        <c:axId val="1955337408"/>
      </c:barChart>
      <c:catAx>
        <c:axId val="195533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337408"/>
        <c:crosses val="autoZero"/>
        <c:auto val="1"/>
        <c:lblAlgn val="ctr"/>
        <c:lblOffset val="100"/>
        <c:noMultiLvlLbl val="0"/>
      </c:catAx>
      <c:valAx>
        <c:axId val="19553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₹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33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Loan Amortization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'Reducing Interest'!$D$19</c:f>
              <c:strCache>
                <c:ptCount val="1"/>
                <c:pt idx="0">
                  <c:v>Payment Due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'Reducing Interest'!$D$20:$D$44</c:f>
              <c:numCache>
                <c:formatCode>"₹"\ #,##0.00</c:formatCode>
                <c:ptCount val="25"/>
                <c:pt idx="1">
                  <c:v>5728.5157464912763</c:v>
                </c:pt>
                <c:pt idx="2">
                  <c:v>5728.5157464912763</c:v>
                </c:pt>
                <c:pt idx="3">
                  <c:v>5728.5157464912763</c:v>
                </c:pt>
                <c:pt idx="4">
                  <c:v>5728.5157464912763</c:v>
                </c:pt>
                <c:pt idx="5">
                  <c:v>5728.5157464912763</c:v>
                </c:pt>
                <c:pt idx="6">
                  <c:v>5728.5157464912763</c:v>
                </c:pt>
                <c:pt idx="7">
                  <c:v>5728.5157464912763</c:v>
                </c:pt>
                <c:pt idx="8">
                  <c:v>5728.5157464912763</c:v>
                </c:pt>
                <c:pt idx="9">
                  <c:v>5728.5157464912763</c:v>
                </c:pt>
                <c:pt idx="10">
                  <c:v>5728.5157464912763</c:v>
                </c:pt>
                <c:pt idx="11">
                  <c:v>5728.5157464912763</c:v>
                </c:pt>
                <c:pt idx="12">
                  <c:v>5728.5157464912763</c:v>
                </c:pt>
                <c:pt idx="13">
                  <c:v>5728.5157464912763</c:v>
                </c:pt>
                <c:pt idx="14">
                  <c:v>5728.5157464912763</c:v>
                </c:pt>
                <c:pt idx="15">
                  <c:v>5728.5157464912763</c:v>
                </c:pt>
                <c:pt idx="16">
                  <c:v>5728.5157464912763</c:v>
                </c:pt>
                <c:pt idx="17">
                  <c:v>5728.5157464912763</c:v>
                </c:pt>
                <c:pt idx="18">
                  <c:v>5728.5157464912763</c:v>
                </c:pt>
                <c:pt idx="19">
                  <c:v>5728.5157464912763</c:v>
                </c:pt>
                <c:pt idx="20">
                  <c:v>5728.5157464912763</c:v>
                </c:pt>
                <c:pt idx="21">
                  <c:v>5728.5157464912763</c:v>
                </c:pt>
                <c:pt idx="22">
                  <c:v>5728.5157464912763</c:v>
                </c:pt>
                <c:pt idx="23">
                  <c:v>5728.5157464912763</c:v>
                </c:pt>
                <c:pt idx="24">
                  <c:v>5728.5157464912763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4D-46D4-9306-87513F864070}"/>
            </c:ext>
          </c:extLst>
        </c:ser>
        <c:ser>
          <c:idx val="1"/>
          <c:order val="1"/>
          <c:tx>
            <c:strRef>
              <c:f>'Reducing Interest'!$E$19</c:f>
              <c:strCache>
                <c:ptCount val="1"/>
                <c:pt idx="0">
                  <c:v>Additional Payment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'Reducing Interest'!$E$20:$E$44</c:f>
              <c:numCache>
                <c:formatCode>"₹"\ #,##0.00</c:formatCode>
                <c:ptCount val="25"/>
                <c:pt idx="4">
                  <c:v>1000</c:v>
                </c:pt>
                <c:pt idx="11">
                  <c:v>3000</c:v>
                </c:pt>
                <c:pt idx="12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4D-46D4-9306-87513F864070}"/>
            </c:ext>
          </c:extLst>
        </c:ser>
        <c:ser>
          <c:idx val="2"/>
          <c:order val="2"/>
          <c:tx>
            <c:strRef>
              <c:f>'Reducing Interest'!$F$19</c:f>
              <c:strCache>
                <c:ptCount val="1"/>
                <c:pt idx="0">
                  <c:v>Interest Paid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'Reducing Interest'!$F$20:$F$44</c:f>
              <c:numCache>
                <c:formatCode>"₹"\ #,##0.00</c:formatCode>
                <c:ptCount val="25"/>
                <c:pt idx="1">
                  <c:v>333.33333333333337</c:v>
                </c:pt>
                <c:pt idx="2">
                  <c:v>324.34136264473676</c:v>
                </c:pt>
                <c:pt idx="3">
                  <c:v>315.33440533832584</c:v>
                </c:pt>
                <c:pt idx="4">
                  <c:v>306.31243643640425</c:v>
                </c:pt>
                <c:pt idx="5">
                  <c:v>295.60876425297948</c:v>
                </c:pt>
                <c:pt idx="6">
                  <c:v>286.55391928258234</c:v>
                </c:pt>
                <c:pt idx="7">
                  <c:v>277.48398290390116</c:v>
                </c:pt>
                <c:pt idx="8">
                  <c:v>268.39892996458889</c:v>
                </c:pt>
                <c:pt idx="9">
                  <c:v>259.29873527037773</c:v>
                </c:pt>
                <c:pt idx="10">
                  <c:v>250.18337358500955</c:v>
                </c:pt>
                <c:pt idx="11">
                  <c:v>241.05281963016577</c:v>
                </c:pt>
                <c:pt idx="12">
                  <c:v>226.90704808539726</c:v>
                </c:pt>
                <c:pt idx="13">
                  <c:v>192.73770025472081</c:v>
                </c:pt>
                <c:pt idx="14">
                  <c:v>183.51140351099323</c:v>
                </c:pt>
                <c:pt idx="15">
                  <c:v>174.26972960602609</c:v>
                </c:pt>
                <c:pt idx="16">
                  <c:v>165.01265291121734</c:v>
                </c:pt>
                <c:pt idx="17">
                  <c:v>155.74014775525058</c:v>
                </c:pt>
                <c:pt idx="18">
                  <c:v>146.45218842402386</c:v>
                </c:pt>
                <c:pt idx="19">
                  <c:v>137.14874916057843</c:v>
                </c:pt>
                <c:pt idx="20">
                  <c:v>127.82980416502727</c:v>
                </c:pt>
                <c:pt idx="21">
                  <c:v>118.49532759448351</c:v>
                </c:pt>
                <c:pt idx="22">
                  <c:v>109.14529356298887</c:v>
                </c:pt>
                <c:pt idx="23">
                  <c:v>99.779676141441726</c:v>
                </c:pt>
                <c:pt idx="24">
                  <c:v>90.398449357525337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4D-46D4-9306-87513F864070}"/>
            </c:ext>
          </c:extLst>
        </c:ser>
        <c:ser>
          <c:idx val="3"/>
          <c:order val="3"/>
          <c:tx>
            <c:strRef>
              <c:f>'Reducing Interest'!$G$19</c:f>
              <c:strCache>
                <c:ptCount val="1"/>
                <c:pt idx="0">
                  <c:v>Principal Paid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'Reducing Interest'!$G$20:$G$44</c:f>
              <c:numCache>
                <c:formatCode>"₹"\ #,##0.00</c:formatCode>
                <c:ptCount val="25"/>
                <c:pt idx="1">
                  <c:v>5395.1824131579433</c:v>
                </c:pt>
                <c:pt idx="2">
                  <c:v>5404.17438384654</c:v>
                </c:pt>
                <c:pt idx="3">
                  <c:v>5413.1813411529502</c:v>
                </c:pt>
                <c:pt idx="4">
                  <c:v>5422.2033100548724</c:v>
                </c:pt>
                <c:pt idx="5">
                  <c:v>5432.9069822382971</c:v>
                </c:pt>
                <c:pt idx="6">
                  <c:v>5441.9618272086936</c:v>
                </c:pt>
                <c:pt idx="7">
                  <c:v>5451.0317635873753</c:v>
                </c:pt>
                <c:pt idx="8">
                  <c:v>5460.1168165266872</c:v>
                </c:pt>
                <c:pt idx="9">
                  <c:v>5469.2170112208987</c:v>
                </c:pt>
                <c:pt idx="10">
                  <c:v>5478.3323729062668</c:v>
                </c:pt>
                <c:pt idx="11">
                  <c:v>5487.4629268611106</c:v>
                </c:pt>
                <c:pt idx="12">
                  <c:v>5501.6086984058793</c:v>
                </c:pt>
                <c:pt idx="13">
                  <c:v>5535.7780462365554</c:v>
                </c:pt>
                <c:pt idx="14">
                  <c:v>5545.0043429802827</c:v>
                </c:pt>
                <c:pt idx="15">
                  <c:v>5554.2460168852504</c:v>
                </c:pt>
                <c:pt idx="16">
                  <c:v>5563.5030935800587</c:v>
                </c:pt>
                <c:pt idx="17">
                  <c:v>5572.775598736026</c:v>
                </c:pt>
                <c:pt idx="18">
                  <c:v>5582.0635580672524</c:v>
                </c:pt>
                <c:pt idx="19">
                  <c:v>5591.3669973306978</c:v>
                </c:pt>
                <c:pt idx="20">
                  <c:v>5600.6859423262495</c:v>
                </c:pt>
                <c:pt idx="21">
                  <c:v>5610.0204188967928</c:v>
                </c:pt>
                <c:pt idx="22">
                  <c:v>5619.3704529282877</c:v>
                </c:pt>
                <c:pt idx="23">
                  <c:v>5628.7360703498343</c:v>
                </c:pt>
                <c:pt idx="24">
                  <c:v>5638.117297133751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4D-46D4-9306-87513F864070}"/>
            </c:ext>
          </c:extLst>
        </c:ser>
        <c:ser>
          <c:idx val="4"/>
          <c:order val="4"/>
          <c:tx>
            <c:strRef>
              <c:f>'Reducing Interest'!$H$19</c:f>
              <c:strCache>
                <c:ptCount val="1"/>
                <c:pt idx="0">
                  <c:v>Balance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'Reducing Interest'!$H$20:$H$44</c:f>
              <c:numCache>
                <c:formatCode>"₹"\ #,##0.00</c:formatCode>
                <c:ptCount val="25"/>
                <c:pt idx="0">
                  <c:v>200000</c:v>
                </c:pt>
                <c:pt idx="1">
                  <c:v>194604.81758684205</c:v>
                </c:pt>
                <c:pt idx="2">
                  <c:v>189200.6432029955</c:v>
                </c:pt>
                <c:pt idx="3">
                  <c:v>183787.46186184254</c:v>
                </c:pt>
                <c:pt idx="4">
                  <c:v>177365.25855178767</c:v>
                </c:pt>
                <c:pt idx="5">
                  <c:v>171932.35156954938</c:v>
                </c:pt>
                <c:pt idx="6">
                  <c:v>166490.38974234069</c:v>
                </c:pt>
                <c:pt idx="7">
                  <c:v>161039.35797875331</c:v>
                </c:pt>
                <c:pt idx="8">
                  <c:v>155579.24116222662</c:v>
                </c:pt>
                <c:pt idx="9">
                  <c:v>150110.02415100572</c:v>
                </c:pt>
                <c:pt idx="10">
                  <c:v>144631.69177809946</c:v>
                </c:pt>
                <c:pt idx="11">
                  <c:v>136144.22885123835</c:v>
                </c:pt>
                <c:pt idx="12">
                  <c:v>115642.62015283247</c:v>
                </c:pt>
                <c:pt idx="13">
                  <c:v>110106.84210659593</c:v>
                </c:pt>
                <c:pt idx="14">
                  <c:v>104561.83776361565</c:v>
                </c:pt>
                <c:pt idx="15">
                  <c:v>99007.591746730395</c:v>
                </c:pt>
                <c:pt idx="16">
                  <c:v>93444.088653150335</c:v>
                </c:pt>
                <c:pt idx="17">
                  <c:v>87871.313054414306</c:v>
                </c:pt>
                <c:pt idx="18">
                  <c:v>82289.249496347053</c:v>
                </c:pt>
                <c:pt idx="19">
                  <c:v>76697.882499016356</c:v>
                </c:pt>
                <c:pt idx="20">
                  <c:v>71097.196556690105</c:v>
                </c:pt>
                <c:pt idx="21">
                  <c:v>65487.176137793314</c:v>
                </c:pt>
                <c:pt idx="22">
                  <c:v>59867.80568486503</c:v>
                </c:pt>
                <c:pt idx="23">
                  <c:v>54239.069614515196</c:v>
                </c:pt>
                <c:pt idx="24">
                  <c:v>48600.952317381445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4D-46D4-9306-87513F864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7"/>
        <c:overlap val="100"/>
        <c:axId val="2119859360"/>
        <c:axId val="2119856000"/>
      </c:barChart>
      <c:catAx>
        <c:axId val="211985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56000"/>
        <c:crosses val="autoZero"/>
        <c:auto val="1"/>
        <c:lblAlgn val="ctr"/>
        <c:lblOffset val="100"/>
        <c:noMultiLvlLbl val="0"/>
      </c:catAx>
      <c:valAx>
        <c:axId val="211985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85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480060</xdr:colOff>
      <xdr:row>5</xdr:row>
      <xdr:rowOff>251460</xdr:rowOff>
    </xdr:from>
    <xdr:to>
      <xdr:col>5</xdr:col>
      <xdr:colOff>899160</xdr:colOff>
      <xdr:row>6</xdr:row>
      <xdr:rowOff>274320</xdr:rowOff>
    </xdr:to>
    <xdr:sp macro="[0]!LOA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EE4241A-B7C0-BA8B-DBC6-F093AB762CCD}"/>
            </a:ext>
          </a:extLst>
        </xdr:cNvPr>
        <xdr:cNvSpPr/>
      </xdr:nvSpPr>
      <xdr:spPr>
        <a:xfrm>
          <a:off x="5966460" y="1546860"/>
          <a:ext cx="2621280" cy="327660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  <a:ln>
          <a:noFill/>
        </a:ln>
        <a:effectLst>
          <a:outerShdw blurRad="254000" dist="25400" dir="75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CLICK ME TO RUN MACRO</a:t>
          </a:r>
        </a:p>
      </xdr:txBody>
    </xdr:sp>
    <xdr:clientData/>
  </xdr:twoCellAnchor>
  <xdr:twoCellAnchor>
    <xdr:from>
      <xdr:col>7</xdr:col>
      <xdr:colOff>106680</xdr:colOff>
      <xdr:row>1</xdr:row>
      <xdr:rowOff>121920</xdr:rowOff>
    </xdr:from>
    <xdr:to>
      <xdr:col>11</xdr:col>
      <xdr:colOff>525780</xdr:colOff>
      <xdr:row>6</xdr:row>
      <xdr:rowOff>243840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25092BD-B35B-C0A3-3700-D956F91E87AD}"/>
            </a:ext>
          </a:extLst>
        </xdr:cNvPr>
        <xdr:cNvSpPr/>
      </xdr:nvSpPr>
      <xdr:spPr>
        <a:xfrm>
          <a:off x="10149840" y="320040"/>
          <a:ext cx="3223260" cy="1524000"/>
        </a:xfrm>
        <a:prstGeom prst="rect">
          <a:avLst/>
        </a:prstGeom>
        <a:solidFill>
          <a:schemeClr val="bg1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>
                  <a:lumMod val="65000"/>
                  <a:lumOff val="35000"/>
                </a:schemeClr>
              </a:solidFill>
            </a:rPr>
            <a:t>Note :</a:t>
          </a:r>
          <a:br>
            <a:rPr lang="en-IN" sz="1100">
              <a:solidFill>
                <a:schemeClr val="tx1">
                  <a:lumMod val="65000"/>
                  <a:lumOff val="35000"/>
                </a:schemeClr>
              </a:solidFill>
            </a:rPr>
          </a:br>
          <a:r>
            <a:rPr lang="en-IN" sz="1100">
              <a:solidFill>
                <a:schemeClr val="tx1">
                  <a:lumMod val="65000"/>
                  <a:lumOff val="35000"/>
                </a:schemeClr>
              </a:solidFill>
            </a:rPr>
            <a:t>Enter the following</a:t>
          </a:r>
          <a:r>
            <a:rPr lang="en-IN" sz="1100" baseline="0">
              <a:solidFill>
                <a:schemeClr val="tx1">
                  <a:lumMod val="65000"/>
                  <a:lumOff val="35000"/>
                </a:schemeClr>
              </a:solidFill>
            </a:rPr>
            <a:t> details</a:t>
          </a:r>
          <a:br>
            <a:rPr lang="en-IN" sz="1100" baseline="0">
              <a:solidFill>
                <a:schemeClr val="tx1">
                  <a:lumMod val="65000"/>
                  <a:lumOff val="35000"/>
                </a:schemeClr>
              </a:solidFill>
            </a:rPr>
          </a:br>
          <a:r>
            <a:rPr lang="en-IN" sz="1100" baseline="0">
              <a:solidFill>
                <a:schemeClr val="tx1">
                  <a:lumMod val="65000"/>
                  <a:lumOff val="35000"/>
                </a:schemeClr>
              </a:solidFill>
            </a:rPr>
            <a:t> - Loan Amount</a:t>
          </a:r>
          <a:br>
            <a:rPr lang="en-IN" sz="1100" baseline="0">
              <a:solidFill>
                <a:schemeClr val="tx1">
                  <a:lumMod val="65000"/>
                  <a:lumOff val="35000"/>
                </a:schemeClr>
              </a:solidFill>
            </a:rPr>
          </a:br>
          <a:r>
            <a:rPr lang="en-IN" sz="1100" baseline="0">
              <a:solidFill>
                <a:schemeClr val="tx1">
                  <a:lumMod val="65000"/>
                  <a:lumOff val="35000"/>
                </a:schemeClr>
              </a:solidFill>
            </a:rPr>
            <a:t> - Interest Rate (select interest rate from drop down)</a:t>
          </a:r>
          <a:br>
            <a:rPr lang="en-IN" sz="1100" baseline="0">
              <a:solidFill>
                <a:schemeClr val="tx1">
                  <a:lumMod val="65000"/>
                  <a:lumOff val="35000"/>
                </a:schemeClr>
              </a:solidFill>
            </a:rPr>
          </a:br>
          <a:r>
            <a:rPr lang="en-IN" sz="1100" baseline="0">
              <a:solidFill>
                <a:schemeClr val="tx1">
                  <a:lumMod val="65000"/>
                  <a:lumOff val="35000"/>
                </a:schemeClr>
              </a:solidFill>
            </a:rPr>
            <a:t> - Tenure in Years (Select tenure from drop down)</a:t>
          </a:r>
          <a:br>
            <a:rPr lang="en-IN" sz="1100" baseline="0">
              <a:solidFill>
                <a:schemeClr val="tx1">
                  <a:lumMod val="65000"/>
                  <a:lumOff val="35000"/>
                </a:schemeClr>
              </a:solidFill>
            </a:rPr>
          </a:br>
          <a:r>
            <a:rPr lang="en-IN" sz="1100" baseline="0">
              <a:solidFill>
                <a:schemeClr val="tx1">
                  <a:lumMod val="65000"/>
                  <a:lumOff val="35000"/>
                </a:schemeClr>
              </a:solidFill>
            </a:rPr>
            <a:t> - Loan Sanction Date</a:t>
          </a:r>
          <a:br>
            <a:rPr lang="en-IN" sz="1100" baseline="0">
              <a:solidFill>
                <a:schemeClr val="tx1">
                  <a:lumMod val="65000"/>
                  <a:lumOff val="35000"/>
                </a:schemeClr>
              </a:solidFill>
            </a:rPr>
          </a:br>
          <a:br>
            <a:rPr lang="en-IN" sz="1100" baseline="0">
              <a:solidFill>
                <a:schemeClr val="tx1">
                  <a:lumMod val="65000"/>
                  <a:lumOff val="35000"/>
                </a:schemeClr>
              </a:solidFill>
            </a:rPr>
          </a:br>
          <a:r>
            <a:rPr lang="en-IN" sz="1100" baseline="0">
              <a:solidFill>
                <a:schemeClr val="tx1">
                  <a:lumMod val="65000"/>
                  <a:lumOff val="35000"/>
                </a:schemeClr>
              </a:solidFill>
            </a:rPr>
            <a:t>and click the run macro </a:t>
          </a:r>
          <a:endParaRPr lang="en-IN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4</xdr:col>
      <xdr:colOff>541020</xdr:colOff>
      <xdr:row>7</xdr:row>
      <xdr:rowOff>152400</xdr:rowOff>
    </xdr:from>
    <xdr:to>
      <xdr:col>5</xdr:col>
      <xdr:colOff>480060</xdr:colOff>
      <xdr:row>8</xdr:row>
      <xdr:rowOff>129540</xdr:rowOff>
    </xdr:to>
    <xdr:sp macro="[0]!clearconten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075F4EB-C8E2-7975-EB79-B18D01427511}"/>
            </a:ext>
          </a:extLst>
        </xdr:cNvPr>
        <xdr:cNvSpPr/>
      </xdr:nvSpPr>
      <xdr:spPr>
        <a:xfrm>
          <a:off x="6027420" y="2057400"/>
          <a:ext cx="2141220" cy="281940"/>
        </a:xfrm>
        <a:prstGeom prst="roundRect">
          <a:avLst>
            <a:gd name="adj" fmla="val 50000"/>
          </a:avLst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200">
              <a:latin typeface="Arial Black" panose="020B0A04020102020204" pitchFamily="34" charset="0"/>
            </a:rPr>
            <a:t>CLEAR</a:t>
          </a:r>
          <a:r>
            <a:rPr lang="en-IN" sz="1200" baseline="0">
              <a:latin typeface="Arial Black" panose="020B0A04020102020204" pitchFamily="34" charset="0"/>
            </a:rPr>
            <a:t> THE CONTENT</a:t>
          </a:r>
          <a:endParaRPr lang="en-IN" sz="1200"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1</xdr:row>
      <xdr:rowOff>83820</xdr:rowOff>
    </xdr:from>
    <xdr:to>
      <xdr:col>15</xdr:col>
      <xdr:colOff>457200</xdr:colOff>
      <xdr:row>15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D58557-37E6-8433-5A80-F8A1E38ED6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3810</xdr:rowOff>
    </xdr:from>
    <xdr:to>
      <xdr:col>16</xdr:col>
      <xdr:colOff>0</xdr:colOff>
      <xdr:row>16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C2FCF3-E975-CB74-0E02-3F8BAF980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34180-C9A9-446E-B611-A4A681A1EA45}">
  <sheetPr codeName="Sheet1"/>
  <dimension ref="A1:W56"/>
  <sheetViews>
    <sheetView showGridLines="0" tabSelected="1" zoomScale="80" zoomScaleNormal="80" workbookViewId="0">
      <pane ySplit="14" topLeftCell="A15" activePane="bottomLeft" state="frozen"/>
      <selection pane="bottomLeft" activeCell="P5" sqref="P5"/>
    </sheetView>
  </sheetViews>
  <sheetFormatPr defaultRowHeight="15.6" x14ac:dyDescent="0.3"/>
  <cols>
    <col min="1" max="1" width="8.88671875" style="75"/>
    <col min="2" max="2" width="31.77734375" style="87" bestFit="1" customWidth="1"/>
    <col min="3" max="3" width="17.77734375" style="88" bestFit="1" customWidth="1"/>
    <col min="4" max="4" width="21.5546875" style="76" bestFit="1" customWidth="1"/>
    <col min="5" max="5" width="32.109375" style="88" customWidth="1"/>
    <col min="6" max="6" width="19.6640625" style="88" customWidth="1"/>
    <col min="7" max="7" width="15.21875" style="88" bestFit="1" customWidth="1"/>
    <col min="8" max="8" width="4.5546875" style="90" customWidth="1"/>
    <col min="9" max="9" width="9" style="89" bestFit="1" customWidth="1"/>
    <col min="10" max="10" width="13" style="76" bestFit="1" customWidth="1"/>
    <col min="11" max="11" width="15" style="88" bestFit="1" customWidth="1"/>
    <col min="12" max="12" width="21.5546875" style="88" bestFit="1" customWidth="1"/>
    <col min="13" max="13" width="14.33203125" style="88" bestFit="1" customWidth="1"/>
    <col min="14" max="14" width="15.109375" style="88" bestFit="1" customWidth="1"/>
    <col min="15" max="15" width="14.6640625" style="88" bestFit="1" customWidth="1"/>
    <col min="16" max="21" width="8.88671875" style="59"/>
    <col min="22" max="23" width="0" style="59" hidden="1" customWidth="1"/>
    <col min="24" max="16384" width="8.88671875" style="59"/>
  </cols>
  <sheetData>
    <row r="1" spans="1:23" x14ac:dyDescent="0.3">
      <c r="A1" s="58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V1" s="59" t="s">
        <v>29</v>
      </c>
      <c r="W1" s="59" t="s">
        <v>30</v>
      </c>
    </row>
    <row r="2" spans="1:23" ht="14.4" customHeight="1" thickBot="1" x14ac:dyDescent="0.35">
      <c r="A2" s="58"/>
      <c r="B2" s="60"/>
      <c r="C2" s="60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V2" s="61">
        <v>0.01</v>
      </c>
      <c r="W2" s="59">
        <v>1</v>
      </c>
    </row>
    <row r="3" spans="1:23" ht="24" thickBot="1" x14ac:dyDescent="0.5">
      <c r="A3" s="58"/>
      <c r="B3" s="62" t="s">
        <v>0</v>
      </c>
      <c r="C3" s="54">
        <v>200000</v>
      </c>
      <c r="D3" s="59"/>
      <c r="E3" s="63" t="s">
        <v>38</v>
      </c>
      <c r="F3" s="63" t="s">
        <v>22</v>
      </c>
      <c r="G3" s="59"/>
      <c r="H3" s="59"/>
      <c r="I3" s="59"/>
      <c r="J3" s="59"/>
      <c r="K3" s="59"/>
      <c r="L3" s="59"/>
      <c r="M3" s="59"/>
      <c r="N3" s="59"/>
      <c r="O3" s="59"/>
      <c r="V3" s="61">
        <v>0.02</v>
      </c>
      <c r="W3" s="59">
        <v>2</v>
      </c>
    </row>
    <row r="4" spans="1:23" ht="24" thickBot="1" x14ac:dyDescent="0.5">
      <c r="A4" s="58"/>
      <c r="B4" s="62" t="s">
        <v>24</v>
      </c>
      <c r="C4" s="55">
        <v>0.02</v>
      </c>
      <c r="D4" s="59"/>
      <c r="E4" s="64" t="s">
        <v>36</v>
      </c>
      <c r="F4" s="65">
        <f>SUM(E16:E1048576)</f>
        <v>287288.37211670168</v>
      </c>
      <c r="G4" s="59"/>
      <c r="H4" s="59"/>
      <c r="I4" s="59"/>
      <c r="J4" s="59"/>
      <c r="K4" s="59"/>
      <c r="L4" s="59"/>
      <c r="M4" s="59"/>
      <c r="N4" s="59"/>
      <c r="O4" s="59"/>
      <c r="V4" s="61">
        <v>0.03</v>
      </c>
      <c r="W4" s="59">
        <v>3</v>
      </c>
    </row>
    <row r="5" spans="1:23" ht="24" thickBot="1" x14ac:dyDescent="0.5">
      <c r="A5" s="58"/>
      <c r="B5" s="62" t="s">
        <v>10</v>
      </c>
      <c r="C5" s="66">
        <v>0.08</v>
      </c>
      <c r="D5" s="59"/>
      <c r="E5" s="64" t="s">
        <v>37</v>
      </c>
      <c r="F5" s="65">
        <f>SUM(M16:M1048576)</f>
        <v>192000</v>
      </c>
      <c r="G5" s="59"/>
      <c r="H5" s="59"/>
      <c r="I5" s="59"/>
      <c r="J5" s="59"/>
      <c r="K5" s="59"/>
      <c r="L5" s="59"/>
      <c r="M5" s="59"/>
      <c r="N5" s="59"/>
      <c r="O5" s="59"/>
      <c r="V5" s="61">
        <v>0.04</v>
      </c>
      <c r="W5" s="59">
        <v>4</v>
      </c>
    </row>
    <row r="6" spans="1:23" ht="24" thickBot="1" x14ac:dyDescent="0.5">
      <c r="A6" s="58"/>
      <c r="B6" s="62" t="s">
        <v>31</v>
      </c>
      <c r="C6" s="56">
        <v>3</v>
      </c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V6" s="61">
        <v>0.05</v>
      </c>
      <c r="W6" s="59">
        <v>5</v>
      </c>
    </row>
    <row r="7" spans="1:23" ht="24" thickBot="1" x14ac:dyDescent="0.5">
      <c r="A7" s="58"/>
      <c r="B7" s="62" t="s">
        <v>32</v>
      </c>
      <c r="C7" s="67">
        <v>36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V7" s="61">
        <v>0.06</v>
      </c>
      <c r="W7" s="59">
        <v>6</v>
      </c>
    </row>
    <row r="8" spans="1:23" ht="24" thickBot="1" x14ac:dyDescent="0.5">
      <c r="A8" s="58"/>
      <c r="B8" s="62" t="s">
        <v>33</v>
      </c>
      <c r="C8" s="57">
        <v>43912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V8" s="61">
        <v>7.0000000000000007E-2</v>
      </c>
      <c r="W8" s="59">
        <v>7</v>
      </c>
    </row>
    <row r="9" spans="1:23" ht="24" thickBot="1" x14ac:dyDescent="0.5">
      <c r="A9" s="58"/>
      <c r="B9" s="62" t="s">
        <v>34</v>
      </c>
      <c r="C9" s="68">
        <v>43913</v>
      </c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V9" s="61">
        <v>0.08</v>
      </c>
      <c r="W9" s="59">
        <v>8</v>
      </c>
    </row>
    <row r="10" spans="1:23" ht="24" thickBot="1" x14ac:dyDescent="0.5">
      <c r="A10" s="58"/>
      <c r="B10" s="69" t="s">
        <v>17</v>
      </c>
      <c r="C10" s="70">
        <f>ABS(PMT(C5,C7,C3,0,0))</f>
        <v>17068.934815374283</v>
      </c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V10" s="61">
        <v>0.09</v>
      </c>
      <c r="W10" s="59">
        <v>9</v>
      </c>
    </row>
    <row r="11" spans="1:23" x14ac:dyDescent="0.3">
      <c r="A11" s="58"/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V11" s="61">
        <v>0.1</v>
      </c>
      <c r="W11" s="59">
        <v>10</v>
      </c>
    </row>
    <row r="12" spans="1:23" ht="23.4" x14ac:dyDescent="0.45">
      <c r="A12" s="91" t="s">
        <v>15</v>
      </c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V12" s="61">
        <v>0.11</v>
      </c>
      <c r="W12" s="59">
        <v>11</v>
      </c>
    </row>
    <row r="13" spans="1:23" s="71" customFormat="1" ht="23.4" x14ac:dyDescent="0.45">
      <c r="A13" s="93" t="s">
        <v>39</v>
      </c>
      <c r="B13" s="94"/>
      <c r="C13" s="94"/>
      <c r="D13" s="94"/>
      <c r="E13" s="94"/>
      <c r="F13" s="94"/>
      <c r="G13" s="94"/>
      <c r="H13" s="74"/>
      <c r="I13" s="94" t="s">
        <v>40</v>
      </c>
      <c r="J13" s="94"/>
      <c r="K13" s="94"/>
      <c r="L13" s="94"/>
      <c r="M13" s="94"/>
      <c r="N13" s="94"/>
      <c r="O13" s="94"/>
      <c r="V13" s="72">
        <v>0.12</v>
      </c>
      <c r="W13" s="71">
        <v>12</v>
      </c>
    </row>
    <row r="14" spans="1:23" ht="18" x14ac:dyDescent="0.35">
      <c r="A14" s="73" t="s">
        <v>20</v>
      </c>
      <c r="B14" s="73" t="s">
        <v>21</v>
      </c>
      <c r="C14" s="73" t="s">
        <v>18</v>
      </c>
      <c r="D14" s="73" t="s">
        <v>19</v>
      </c>
      <c r="E14" s="73" t="s">
        <v>22</v>
      </c>
      <c r="F14" s="73" t="s">
        <v>16</v>
      </c>
      <c r="G14" s="73" t="s">
        <v>13</v>
      </c>
      <c r="H14" s="74"/>
      <c r="I14" s="73" t="s">
        <v>20</v>
      </c>
      <c r="J14" s="73" t="s">
        <v>21</v>
      </c>
      <c r="K14" s="73" t="s">
        <v>18</v>
      </c>
      <c r="L14" s="73" t="s">
        <v>19</v>
      </c>
      <c r="M14" s="73" t="s">
        <v>22</v>
      </c>
      <c r="N14" s="73" t="s">
        <v>16</v>
      </c>
      <c r="O14" s="73" t="s">
        <v>13</v>
      </c>
      <c r="V14" s="61">
        <v>0.13</v>
      </c>
      <c r="W14" s="59">
        <v>13</v>
      </c>
    </row>
    <row r="15" spans="1:23" x14ac:dyDescent="0.3">
      <c r="A15" s="75">
        <v>0</v>
      </c>
      <c r="B15" s="76"/>
      <c r="C15" s="76"/>
      <c r="D15" s="77"/>
      <c r="E15" s="77"/>
      <c r="F15" s="77"/>
      <c r="G15" s="77">
        <f>C3</f>
        <v>200000</v>
      </c>
      <c r="H15" s="74"/>
      <c r="I15" s="78">
        <v>0</v>
      </c>
      <c r="J15" s="78"/>
      <c r="K15" s="78"/>
      <c r="L15" s="78"/>
      <c r="M15" s="78"/>
      <c r="N15" s="78"/>
      <c r="O15" s="79">
        <f>C3</f>
        <v>200000</v>
      </c>
      <c r="V15" s="61">
        <v>0.14000000000000001</v>
      </c>
      <c r="W15" s="59">
        <v>14</v>
      </c>
    </row>
    <row r="16" spans="1:23" x14ac:dyDescent="0.3">
      <c r="A16" s="75" cm="1">
        <f t="array" ref="A16:A51">_xlfn.SEQUENCE(C7)</f>
        <v>1</v>
      </c>
      <c r="B16" s="80">
        <f>C9</f>
        <v>43913</v>
      </c>
      <c r="C16" s="77">
        <f>C10</f>
        <v>17068.934815374283</v>
      </c>
      <c r="D16" s="77"/>
      <c r="E16" s="77">
        <f>G15*$C$5</f>
        <v>16000</v>
      </c>
      <c r="F16" s="77">
        <f>IF(A16="","",(C16-E16+D16))</f>
        <v>1068.9348153742831</v>
      </c>
      <c r="G16" s="77">
        <f>IF(A16="","",G15-F16-D16)</f>
        <v>198931.06518462571</v>
      </c>
      <c r="H16" s="74"/>
      <c r="I16" s="78" cm="1">
        <f t="array" ref="I16:I51">_xlfn.SEQUENCE(C7)</f>
        <v>1</v>
      </c>
      <c r="J16" s="81">
        <f>C9</f>
        <v>43913</v>
      </c>
      <c r="K16" s="79">
        <f>C10</f>
        <v>17068.934815374283</v>
      </c>
      <c r="L16" s="79"/>
      <c r="M16" s="79">
        <f>O15*C5</f>
        <v>16000</v>
      </c>
      <c r="N16" s="79">
        <f>IF(I16="","",K16+L16)</f>
        <v>17068.934815374283</v>
      </c>
      <c r="O16" s="79">
        <f>IF(I16="","",O15-K16-L16)</f>
        <v>182931.06518462571</v>
      </c>
      <c r="V16" s="61">
        <v>0.15</v>
      </c>
      <c r="W16" s="59">
        <v>15</v>
      </c>
    </row>
    <row r="17" spans="1:23" x14ac:dyDescent="0.3">
      <c r="A17" s="75">
        <v>2</v>
      </c>
      <c r="B17" s="82">
        <f>IF(A17="","",EOMONTH(B16,0)+1)</f>
        <v>43922</v>
      </c>
      <c r="C17" s="83">
        <f>IF(A17="","",MIN(G16+E17,$C$10))</f>
        <v>17068.934815374283</v>
      </c>
      <c r="D17" s="77"/>
      <c r="E17" s="77">
        <f t="shared" ref="E17:E51" si="0">G16*$C$5</f>
        <v>15914.485214770057</v>
      </c>
      <c r="F17" s="77">
        <f t="shared" ref="F17:F51" si="1">IF(A17="","",(C17-E17+D17))</f>
        <v>1154.4496006042264</v>
      </c>
      <c r="G17" s="77">
        <f t="shared" ref="G17:G51" si="2">IF(A17="","",G16-F17-D17)</f>
        <v>197776.61558402149</v>
      </c>
      <c r="H17" s="74"/>
      <c r="I17" s="78">
        <v>2</v>
      </c>
      <c r="J17" s="81">
        <f>IF(I17="","",EOMONTH(J16,0)+1)</f>
        <v>43922</v>
      </c>
      <c r="K17" s="79">
        <f>IF(O16&lt;$C$10,O16,IF(I17="","",MIN(O16+M17,$C$10)))</f>
        <v>17068.934815374283</v>
      </c>
      <c r="L17" s="79"/>
      <c r="M17" s="79">
        <f>IF(O16=0,"",IF(I17="","",$O$15*$C$5))</f>
        <v>16000</v>
      </c>
      <c r="N17" s="79">
        <f>IF(I17="","",K17+L17)</f>
        <v>17068.934815374283</v>
      </c>
      <c r="O17" s="79">
        <f>IF(I17="","",O16-K17-L17)</f>
        <v>165862.13036925142</v>
      </c>
      <c r="V17" s="61">
        <v>0.16</v>
      </c>
      <c r="W17" s="59">
        <v>16</v>
      </c>
    </row>
    <row r="18" spans="1:23" x14ac:dyDescent="0.3">
      <c r="A18" s="75">
        <v>3</v>
      </c>
      <c r="B18" s="82">
        <f t="shared" ref="B18:B51" si="3">IF(A18="","",EOMONTH(B17,0)+1)</f>
        <v>43952</v>
      </c>
      <c r="C18" s="83">
        <f t="shared" ref="C18:C51" si="4">IF(A18="","",MIN(G17+E18,$C$10))</f>
        <v>17068.934815374283</v>
      </c>
      <c r="D18" s="77"/>
      <c r="E18" s="77">
        <f t="shared" si="0"/>
        <v>15822.129246721719</v>
      </c>
      <c r="F18" s="77">
        <f t="shared" si="1"/>
        <v>1246.805568652564</v>
      </c>
      <c r="G18" s="77">
        <f t="shared" si="2"/>
        <v>196529.81001536892</v>
      </c>
      <c r="H18" s="74"/>
      <c r="I18" s="78">
        <v>3</v>
      </c>
      <c r="J18" s="81">
        <f t="shared" ref="J18:J51" si="5">IF(I18="","",EOMONTH(J17,0)+1)</f>
        <v>43952</v>
      </c>
      <c r="K18" s="79">
        <f t="shared" ref="K18:K51" si="6">IF(O17&lt;$C$10,O17,IF(I18="","",MIN(O17+M18,$C$10)))</f>
        <v>17068.934815374283</v>
      </c>
      <c r="L18" s="79"/>
      <c r="M18" s="79">
        <f t="shared" ref="M18:M51" si="7">IF(O17=0,"",IF(I18="","",$O$15*$C$5))</f>
        <v>16000</v>
      </c>
      <c r="N18" s="79">
        <f t="shared" ref="N18:N51" si="8">IF(I18="","",K18+L18)</f>
        <v>17068.934815374283</v>
      </c>
      <c r="O18" s="79">
        <f t="shared" ref="O18:O51" si="9">IF(I18="","",O17-K18-L18)</f>
        <v>148793.19555387713</v>
      </c>
      <c r="V18" s="61">
        <v>0.17</v>
      </c>
      <c r="W18" s="59">
        <v>17</v>
      </c>
    </row>
    <row r="19" spans="1:23" x14ac:dyDescent="0.3">
      <c r="A19" s="75">
        <v>4</v>
      </c>
      <c r="B19" s="82">
        <f t="shared" si="3"/>
        <v>43983</v>
      </c>
      <c r="C19" s="83">
        <f t="shared" si="4"/>
        <v>17068.934815374283</v>
      </c>
      <c r="D19" s="77"/>
      <c r="E19" s="77">
        <f t="shared" si="0"/>
        <v>15722.384801229513</v>
      </c>
      <c r="F19" s="77">
        <f t="shared" si="1"/>
        <v>1346.5500141447701</v>
      </c>
      <c r="G19" s="77">
        <f t="shared" si="2"/>
        <v>195183.26000122415</v>
      </c>
      <c r="H19" s="74"/>
      <c r="I19" s="78">
        <v>4</v>
      </c>
      <c r="J19" s="81">
        <f t="shared" si="5"/>
        <v>43983</v>
      </c>
      <c r="K19" s="79">
        <f t="shared" si="6"/>
        <v>17068.934815374283</v>
      </c>
      <c r="L19" s="79"/>
      <c r="M19" s="79">
        <f t="shared" si="7"/>
        <v>16000</v>
      </c>
      <c r="N19" s="79">
        <f t="shared" si="8"/>
        <v>17068.934815374283</v>
      </c>
      <c r="O19" s="79">
        <f t="shared" si="9"/>
        <v>131724.26073850284</v>
      </c>
      <c r="V19" s="61">
        <v>0.18</v>
      </c>
      <c r="W19" s="59">
        <v>18</v>
      </c>
    </row>
    <row r="20" spans="1:23" x14ac:dyDescent="0.3">
      <c r="A20" s="75">
        <v>5</v>
      </c>
      <c r="B20" s="82">
        <f t="shared" si="3"/>
        <v>44013</v>
      </c>
      <c r="C20" s="83">
        <f t="shared" si="4"/>
        <v>17068.934815374283</v>
      </c>
      <c r="D20" s="77"/>
      <c r="E20" s="77">
        <f t="shared" si="0"/>
        <v>15614.660800097932</v>
      </c>
      <c r="F20" s="77">
        <f t="shared" si="1"/>
        <v>1454.2740152763508</v>
      </c>
      <c r="G20" s="77">
        <f t="shared" si="2"/>
        <v>193728.9859859478</v>
      </c>
      <c r="H20" s="74"/>
      <c r="I20" s="78">
        <v>5</v>
      </c>
      <c r="J20" s="81">
        <f t="shared" si="5"/>
        <v>44013</v>
      </c>
      <c r="K20" s="79">
        <f t="shared" si="6"/>
        <v>17068.934815374283</v>
      </c>
      <c r="L20" s="79"/>
      <c r="M20" s="79">
        <f t="shared" si="7"/>
        <v>16000</v>
      </c>
      <c r="N20" s="79">
        <f t="shared" si="8"/>
        <v>17068.934815374283</v>
      </c>
      <c r="O20" s="79">
        <f t="shared" si="9"/>
        <v>114655.32592312855</v>
      </c>
      <c r="W20" s="59">
        <v>19</v>
      </c>
    </row>
    <row r="21" spans="1:23" x14ac:dyDescent="0.3">
      <c r="A21" s="75">
        <v>6</v>
      </c>
      <c r="B21" s="82">
        <f t="shared" si="3"/>
        <v>44044</v>
      </c>
      <c r="C21" s="83">
        <f t="shared" si="4"/>
        <v>17068.934815374283</v>
      </c>
      <c r="D21" s="77">
        <v>10000</v>
      </c>
      <c r="E21" s="77">
        <f t="shared" si="0"/>
        <v>15498.318878875825</v>
      </c>
      <c r="F21" s="77">
        <f t="shared" si="1"/>
        <v>11570.615936498458</v>
      </c>
      <c r="G21" s="77">
        <f t="shared" si="2"/>
        <v>172158.37004944935</v>
      </c>
      <c r="H21" s="74"/>
      <c r="I21" s="78">
        <v>6</v>
      </c>
      <c r="J21" s="81">
        <f t="shared" si="5"/>
        <v>44044</v>
      </c>
      <c r="K21" s="79">
        <f t="shared" si="6"/>
        <v>17068.934815374283</v>
      </c>
      <c r="L21" s="79"/>
      <c r="M21" s="79">
        <f t="shared" si="7"/>
        <v>16000</v>
      </c>
      <c r="N21" s="79">
        <f t="shared" si="8"/>
        <v>17068.934815374283</v>
      </c>
      <c r="O21" s="79">
        <f t="shared" si="9"/>
        <v>97586.391107754258</v>
      </c>
      <c r="W21" s="59">
        <v>20</v>
      </c>
    </row>
    <row r="22" spans="1:23" x14ac:dyDescent="0.3">
      <c r="A22" s="75">
        <v>7</v>
      </c>
      <c r="B22" s="82">
        <f t="shared" si="3"/>
        <v>44075</v>
      </c>
      <c r="C22" s="83">
        <f t="shared" si="4"/>
        <v>17068.934815374283</v>
      </c>
      <c r="D22" s="77"/>
      <c r="E22" s="77">
        <f t="shared" si="0"/>
        <v>13772.669603955948</v>
      </c>
      <c r="F22" s="77">
        <f t="shared" si="1"/>
        <v>3296.2652114183347</v>
      </c>
      <c r="G22" s="77">
        <f t="shared" si="2"/>
        <v>168862.10483803102</v>
      </c>
      <c r="H22" s="74"/>
      <c r="I22" s="78">
        <v>7</v>
      </c>
      <c r="J22" s="81">
        <f t="shared" si="5"/>
        <v>44075</v>
      </c>
      <c r="K22" s="79">
        <f t="shared" si="6"/>
        <v>17068.934815374283</v>
      </c>
      <c r="L22" s="79"/>
      <c r="M22" s="79">
        <f t="shared" si="7"/>
        <v>16000</v>
      </c>
      <c r="N22" s="79">
        <f t="shared" si="8"/>
        <v>17068.934815374283</v>
      </c>
      <c r="O22" s="79">
        <f t="shared" si="9"/>
        <v>80517.456292379968</v>
      </c>
      <c r="W22" s="59">
        <v>21</v>
      </c>
    </row>
    <row r="23" spans="1:23" x14ac:dyDescent="0.3">
      <c r="A23" s="75">
        <v>8</v>
      </c>
      <c r="B23" s="82">
        <f t="shared" si="3"/>
        <v>44105</v>
      </c>
      <c r="C23" s="83">
        <f t="shared" si="4"/>
        <v>17068.934815374283</v>
      </c>
      <c r="D23" s="84"/>
      <c r="E23" s="77">
        <f t="shared" si="0"/>
        <v>13508.968387042481</v>
      </c>
      <c r="F23" s="77">
        <f t="shared" si="1"/>
        <v>3559.9664283318016</v>
      </c>
      <c r="G23" s="77">
        <f t="shared" si="2"/>
        <v>165302.13840969923</v>
      </c>
      <c r="H23" s="74"/>
      <c r="I23" s="78">
        <v>8</v>
      </c>
      <c r="J23" s="81">
        <f t="shared" si="5"/>
        <v>44105</v>
      </c>
      <c r="K23" s="79">
        <f t="shared" si="6"/>
        <v>17068.934815374283</v>
      </c>
      <c r="L23" s="79"/>
      <c r="M23" s="79">
        <f t="shared" si="7"/>
        <v>16000</v>
      </c>
      <c r="N23" s="79">
        <f t="shared" si="8"/>
        <v>17068.934815374283</v>
      </c>
      <c r="O23" s="79">
        <f t="shared" si="9"/>
        <v>63448.521477005685</v>
      </c>
      <c r="W23" s="59">
        <v>22</v>
      </c>
    </row>
    <row r="24" spans="1:23" x14ac:dyDescent="0.3">
      <c r="A24" s="75">
        <v>9</v>
      </c>
      <c r="B24" s="82">
        <f t="shared" si="3"/>
        <v>44136</v>
      </c>
      <c r="C24" s="83">
        <f t="shared" si="4"/>
        <v>17068.934815374283</v>
      </c>
      <c r="E24" s="77">
        <f t="shared" si="0"/>
        <v>13224.171072775938</v>
      </c>
      <c r="F24" s="77">
        <f t="shared" si="1"/>
        <v>3844.7637425983448</v>
      </c>
      <c r="G24" s="77">
        <f t="shared" si="2"/>
        <v>161457.37466710087</v>
      </c>
      <c r="H24" s="74"/>
      <c r="I24" s="78">
        <v>9</v>
      </c>
      <c r="J24" s="81">
        <f t="shared" si="5"/>
        <v>44136</v>
      </c>
      <c r="K24" s="79">
        <f t="shared" si="6"/>
        <v>17068.934815374283</v>
      </c>
      <c r="L24" s="79"/>
      <c r="M24" s="79">
        <f t="shared" si="7"/>
        <v>16000</v>
      </c>
      <c r="N24" s="79">
        <f t="shared" si="8"/>
        <v>17068.934815374283</v>
      </c>
      <c r="O24" s="79">
        <f t="shared" si="9"/>
        <v>46379.586661631402</v>
      </c>
      <c r="W24" s="59">
        <v>23</v>
      </c>
    </row>
    <row r="25" spans="1:23" x14ac:dyDescent="0.3">
      <c r="A25" s="75">
        <v>10</v>
      </c>
      <c r="B25" s="82">
        <f t="shared" si="3"/>
        <v>44166</v>
      </c>
      <c r="C25" s="83">
        <f t="shared" si="4"/>
        <v>17068.934815374283</v>
      </c>
      <c r="E25" s="77">
        <f t="shared" si="0"/>
        <v>12916.589973368071</v>
      </c>
      <c r="F25" s="77">
        <f t="shared" si="1"/>
        <v>4152.3448420062123</v>
      </c>
      <c r="G25" s="77">
        <f t="shared" si="2"/>
        <v>157305.02982509465</v>
      </c>
      <c r="H25" s="74"/>
      <c r="I25" s="78">
        <v>10</v>
      </c>
      <c r="J25" s="81">
        <f t="shared" si="5"/>
        <v>44166</v>
      </c>
      <c r="K25" s="79">
        <f t="shared" si="6"/>
        <v>17068.934815374283</v>
      </c>
      <c r="L25" s="79"/>
      <c r="M25" s="79">
        <f t="shared" si="7"/>
        <v>16000</v>
      </c>
      <c r="N25" s="79">
        <f t="shared" si="8"/>
        <v>17068.934815374283</v>
      </c>
      <c r="O25" s="79">
        <f t="shared" si="9"/>
        <v>29310.651846257118</v>
      </c>
      <c r="W25" s="59">
        <v>24</v>
      </c>
    </row>
    <row r="26" spans="1:23" x14ac:dyDescent="0.3">
      <c r="A26" s="75">
        <v>11</v>
      </c>
      <c r="B26" s="82">
        <f t="shared" si="3"/>
        <v>44197</v>
      </c>
      <c r="C26" s="83">
        <f t="shared" si="4"/>
        <v>17068.934815374283</v>
      </c>
      <c r="E26" s="77">
        <f t="shared" si="0"/>
        <v>12584.402386007572</v>
      </c>
      <c r="F26" s="77">
        <f t="shared" si="1"/>
        <v>4484.5324293667109</v>
      </c>
      <c r="G26" s="77">
        <f t="shared" si="2"/>
        <v>152820.49739572793</v>
      </c>
      <c r="H26" s="74"/>
      <c r="I26" s="78">
        <v>11</v>
      </c>
      <c r="J26" s="81">
        <f t="shared" si="5"/>
        <v>44197</v>
      </c>
      <c r="K26" s="79">
        <f t="shared" si="6"/>
        <v>17068.934815374283</v>
      </c>
      <c r="L26" s="79"/>
      <c r="M26" s="79">
        <f t="shared" si="7"/>
        <v>16000</v>
      </c>
      <c r="N26" s="79">
        <f t="shared" si="8"/>
        <v>17068.934815374283</v>
      </c>
      <c r="O26" s="79">
        <f t="shared" si="9"/>
        <v>12241.717030882835</v>
      </c>
      <c r="W26" s="59">
        <v>25</v>
      </c>
    </row>
    <row r="27" spans="1:23" x14ac:dyDescent="0.3">
      <c r="A27" s="75">
        <v>12</v>
      </c>
      <c r="B27" s="82">
        <f t="shared" si="3"/>
        <v>44228</v>
      </c>
      <c r="C27" s="83">
        <f t="shared" si="4"/>
        <v>17068.934815374283</v>
      </c>
      <c r="E27" s="77">
        <f t="shared" si="0"/>
        <v>12225.639791658235</v>
      </c>
      <c r="F27" s="77">
        <f t="shared" si="1"/>
        <v>4843.2950237160476</v>
      </c>
      <c r="G27" s="77">
        <f t="shared" si="2"/>
        <v>147977.20237201187</v>
      </c>
      <c r="H27" s="74"/>
      <c r="I27" s="78">
        <v>12</v>
      </c>
      <c r="J27" s="81">
        <f t="shared" si="5"/>
        <v>44228</v>
      </c>
      <c r="K27" s="79">
        <f t="shared" si="6"/>
        <v>12241.717030882835</v>
      </c>
      <c r="L27" s="79"/>
      <c r="M27" s="79">
        <f t="shared" si="7"/>
        <v>16000</v>
      </c>
      <c r="N27" s="79">
        <f t="shared" si="8"/>
        <v>12241.717030882835</v>
      </c>
      <c r="O27" s="79">
        <f t="shared" si="9"/>
        <v>0</v>
      </c>
      <c r="W27" s="59">
        <v>26</v>
      </c>
    </row>
    <row r="28" spans="1:23" x14ac:dyDescent="0.3">
      <c r="A28" s="75">
        <v>13</v>
      </c>
      <c r="B28" s="82">
        <f t="shared" si="3"/>
        <v>44256</v>
      </c>
      <c r="C28" s="83">
        <f t="shared" si="4"/>
        <v>17068.934815374283</v>
      </c>
      <c r="E28" s="77">
        <f t="shared" si="0"/>
        <v>11838.17618976095</v>
      </c>
      <c r="F28" s="77">
        <f t="shared" si="1"/>
        <v>5230.7586256133327</v>
      </c>
      <c r="G28" s="77">
        <f t="shared" si="2"/>
        <v>142746.44374639855</v>
      </c>
      <c r="H28" s="74"/>
      <c r="I28" s="78">
        <v>13</v>
      </c>
      <c r="J28" s="81">
        <f t="shared" si="5"/>
        <v>44256</v>
      </c>
      <c r="K28" s="79">
        <f t="shared" si="6"/>
        <v>0</v>
      </c>
      <c r="L28" s="79"/>
      <c r="M28" s="79" t="str">
        <f t="shared" si="7"/>
        <v/>
      </c>
      <c r="N28" s="79">
        <f t="shared" si="8"/>
        <v>0</v>
      </c>
      <c r="O28" s="79">
        <f t="shared" si="9"/>
        <v>0</v>
      </c>
      <c r="W28" s="59">
        <v>27</v>
      </c>
    </row>
    <row r="29" spans="1:23" x14ac:dyDescent="0.3">
      <c r="A29" s="75">
        <v>14</v>
      </c>
      <c r="B29" s="82">
        <f t="shared" si="3"/>
        <v>44287</v>
      </c>
      <c r="C29" s="83">
        <f t="shared" si="4"/>
        <v>17068.934815374283</v>
      </c>
      <c r="E29" s="77">
        <f t="shared" si="0"/>
        <v>11419.715499711885</v>
      </c>
      <c r="F29" s="77">
        <f t="shared" si="1"/>
        <v>5649.219315662398</v>
      </c>
      <c r="G29" s="77">
        <f t="shared" si="2"/>
        <v>137097.22443073615</v>
      </c>
      <c r="H29" s="74"/>
      <c r="I29" s="78">
        <v>14</v>
      </c>
      <c r="J29" s="81">
        <f t="shared" si="5"/>
        <v>44287</v>
      </c>
      <c r="K29" s="79">
        <f t="shared" si="6"/>
        <v>0</v>
      </c>
      <c r="L29" s="79"/>
      <c r="M29" s="79" t="str">
        <f t="shared" si="7"/>
        <v/>
      </c>
      <c r="N29" s="79">
        <f t="shared" si="8"/>
        <v>0</v>
      </c>
      <c r="O29" s="79">
        <f t="shared" si="9"/>
        <v>0</v>
      </c>
      <c r="W29" s="59">
        <v>28</v>
      </c>
    </row>
    <row r="30" spans="1:23" x14ac:dyDescent="0.3">
      <c r="A30" s="75">
        <v>15</v>
      </c>
      <c r="B30" s="82">
        <f t="shared" si="3"/>
        <v>44317</v>
      </c>
      <c r="C30" s="83">
        <f t="shared" si="4"/>
        <v>17068.934815374283</v>
      </c>
      <c r="E30" s="77">
        <f t="shared" si="0"/>
        <v>10967.777954458892</v>
      </c>
      <c r="F30" s="77">
        <f t="shared" si="1"/>
        <v>6101.156860915391</v>
      </c>
      <c r="G30" s="77">
        <f t="shared" si="2"/>
        <v>130996.06756982076</v>
      </c>
      <c r="H30" s="74"/>
      <c r="I30" s="78">
        <v>15</v>
      </c>
      <c r="J30" s="81">
        <f t="shared" si="5"/>
        <v>44317</v>
      </c>
      <c r="K30" s="79">
        <f t="shared" si="6"/>
        <v>0</v>
      </c>
      <c r="L30" s="79"/>
      <c r="M30" s="79" t="str">
        <f t="shared" si="7"/>
        <v/>
      </c>
      <c r="N30" s="79">
        <f t="shared" si="8"/>
        <v>0</v>
      </c>
      <c r="O30" s="79">
        <f t="shared" si="9"/>
        <v>0</v>
      </c>
      <c r="W30" s="59">
        <v>29</v>
      </c>
    </row>
    <row r="31" spans="1:23" x14ac:dyDescent="0.3">
      <c r="A31" s="75">
        <v>16</v>
      </c>
      <c r="B31" s="82">
        <f t="shared" si="3"/>
        <v>44348</v>
      </c>
      <c r="C31" s="83">
        <f t="shared" si="4"/>
        <v>17068.934815374283</v>
      </c>
      <c r="E31" s="77">
        <f t="shared" si="0"/>
        <v>10479.685405585662</v>
      </c>
      <c r="F31" s="77">
        <f t="shared" si="1"/>
        <v>6589.2494097886211</v>
      </c>
      <c r="G31" s="77">
        <f t="shared" si="2"/>
        <v>124406.81816003214</v>
      </c>
      <c r="H31" s="74"/>
      <c r="I31" s="78">
        <v>16</v>
      </c>
      <c r="J31" s="81">
        <f t="shared" si="5"/>
        <v>44348</v>
      </c>
      <c r="K31" s="79">
        <f t="shared" si="6"/>
        <v>0</v>
      </c>
      <c r="L31" s="79"/>
      <c r="M31" s="79" t="str">
        <f t="shared" si="7"/>
        <v/>
      </c>
      <c r="N31" s="79">
        <f t="shared" si="8"/>
        <v>0</v>
      </c>
      <c r="O31" s="79">
        <f t="shared" si="9"/>
        <v>0</v>
      </c>
      <c r="W31" s="59">
        <v>30</v>
      </c>
    </row>
    <row r="32" spans="1:23" x14ac:dyDescent="0.3">
      <c r="A32" s="75">
        <v>17</v>
      </c>
      <c r="B32" s="82">
        <f t="shared" si="3"/>
        <v>44378</v>
      </c>
      <c r="C32" s="83">
        <f t="shared" si="4"/>
        <v>17068.934815374283</v>
      </c>
      <c r="E32" s="77">
        <f t="shared" si="0"/>
        <v>9952.5454528025712</v>
      </c>
      <c r="F32" s="77">
        <f t="shared" si="1"/>
        <v>7116.3893625717119</v>
      </c>
      <c r="G32" s="77">
        <f t="shared" si="2"/>
        <v>117290.42879746042</v>
      </c>
      <c r="H32" s="74"/>
      <c r="I32" s="78">
        <v>17</v>
      </c>
      <c r="J32" s="81">
        <f t="shared" si="5"/>
        <v>44378</v>
      </c>
      <c r="K32" s="79">
        <f t="shared" si="6"/>
        <v>0</v>
      </c>
      <c r="L32" s="79"/>
      <c r="M32" s="79" t="str">
        <f t="shared" si="7"/>
        <v/>
      </c>
      <c r="N32" s="79">
        <f t="shared" si="8"/>
        <v>0</v>
      </c>
      <c r="O32" s="79">
        <f t="shared" si="9"/>
        <v>0</v>
      </c>
    </row>
    <row r="33" spans="1:15" x14ac:dyDescent="0.3">
      <c r="A33" s="75">
        <v>18</v>
      </c>
      <c r="B33" s="82">
        <f t="shared" si="3"/>
        <v>44409</v>
      </c>
      <c r="C33" s="83">
        <f t="shared" si="4"/>
        <v>17068.934815374283</v>
      </c>
      <c r="E33" s="77">
        <f t="shared" si="0"/>
        <v>9383.2343037968349</v>
      </c>
      <c r="F33" s="77">
        <f t="shared" si="1"/>
        <v>7685.7005115774482</v>
      </c>
      <c r="G33" s="77">
        <f t="shared" si="2"/>
        <v>109604.72828588297</v>
      </c>
      <c r="H33" s="85"/>
      <c r="I33" s="86">
        <v>18</v>
      </c>
      <c r="J33" s="81">
        <f t="shared" si="5"/>
        <v>44409</v>
      </c>
      <c r="K33" s="79">
        <f t="shared" si="6"/>
        <v>0</v>
      </c>
      <c r="L33" s="79"/>
      <c r="M33" s="79" t="str">
        <f t="shared" si="7"/>
        <v/>
      </c>
      <c r="N33" s="79">
        <f t="shared" si="8"/>
        <v>0</v>
      </c>
      <c r="O33" s="79">
        <f t="shared" si="9"/>
        <v>0</v>
      </c>
    </row>
    <row r="34" spans="1:15" x14ac:dyDescent="0.3">
      <c r="A34" s="75">
        <v>19</v>
      </c>
      <c r="B34" s="82">
        <f t="shared" si="3"/>
        <v>44440</v>
      </c>
      <c r="C34" s="83">
        <f t="shared" si="4"/>
        <v>17068.934815374283</v>
      </c>
      <c r="E34" s="77">
        <f t="shared" si="0"/>
        <v>8768.3782628706376</v>
      </c>
      <c r="F34" s="77">
        <f t="shared" si="1"/>
        <v>8300.5565525036454</v>
      </c>
      <c r="G34" s="77">
        <f t="shared" si="2"/>
        <v>101304.17173337932</v>
      </c>
      <c r="H34" s="85"/>
      <c r="I34" s="86">
        <v>19</v>
      </c>
      <c r="J34" s="81">
        <f t="shared" si="5"/>
        <v>44440</v>
      </c>
      <c r="K34" s="79">
        <f t="shared" si="6"/>
        <v>0</v>
      </c>
      <c r="L34" s="79"/>
      <c r="M34" s="79" t="str">
        <f t="shared" si="7"/>
        <v/>
      </c>
      <c r="N34" s="79">
        <f t="shared" si="8"/>
        <v>0</v>
      </c>
      <c r="O34" s="79">
        <f t="shared" si="9"/>
        <v>0</v>
      </c>
    </row>
    <row r="35" spans="1:15" x14ac:dyDescent="0.3">
      <c r="A35" s="75">
        <v>20</v>
      </c>
      <c r="B35" s="82">
        <f t="shared" si="3"/>
        <v>44470</v>
      </c>
      <c r="C35" s="83">
        <f t="shared" si="4"/>
        <v>17068.934815374283</v>
      </c>
      <c r="E35" s="77">
        <f t="shared" si="0"/>
        <v>8104.3337386703461</v>
      </c>
      <c r="F35" s="77">
        <f t="shared" si="1"/>
        <v>8964.601076703937</v>
      </c>
      <c r="G35" s="77">
        <f t="shared" si="2"/>
        <v>92339.57065667538</v>
      </c>
      <c r="H35" s="85"/>
      <c r="I35" s="86">
        <v>20</v>
      </c>
      <c r="J35" s="81">
        <f t="shared" si="5"/>
        <v>44470</v>
      </c>
      <c r="K35" s="79">
        <f t="shared" si="6"/>
        <v>0</v>
      </c>
      <c r="L35" s="79"/>
      <c r="M35" s="79" t="str">
        <f t="shared" si="7"/>
        <v/>
      </c>
      <c r="N35" s="79">
        <f t="shared" si="8"/>
        <v>0</v>
      </c>
      <c r="O35" s="79">
        <f t="shared" si="9"/>
        <v>0</v>
      </c>
    </row>
    <row r="36" spans="1:15" x14ac:dyDescent="0.3">
      <c r="A36" s="75">
        <v>21</v>
      </c>
      <c r="B36" s="82">
        <f t="shared" si="3"/>
        <v>44501</v>
      </c>
      <c r="C36" s="83">
        <f t="shared" si="4"/>
        <v>17068.934815374283</v>
      </c>
      <c r="E36" s="77">
        <f t="shared" si="0"/>
        <v>7387.1656525340304</v>
      </c>
      <c r="F36" s="77">
        <f t="shared" si="1"/>
        <v>9681.7691628402536</v>
      </c>
      <c r="G36" s="77">
        <f t="shared" si="2"/>
        <v>82657.801493835126</v>
      </c>
      <c r="H36" s="85"/>
      <c r="I36" s="86">
        <v>21</v>
      </c>
      <c r="J36" s="81">
        <f t="shared" si="5"/>
        <v>44501</v>
      </c>
      <c r="K36" s="79">
        <f t="shared" si="6"/>
        <v>0</v>
      </c>
      <c r="L36" s="79"/>
      <c r="M36" s="79" t="str">
        <f t="shared" si="7"/>
        <v/>
      </c>
      <c r="N36" s="79">
        <f t="shared" si="8"/>
        <v>0</v>
      </c>
      <c r="O36" s="79">
        <f t="shared" si="9"/>
        <v>0</v>
      </c>
    </row>
    <row r="37" spans="1:15" x14ac:dyDescent="0.3">
      <c r="A37" s="75">
        <v>22</v>
      </c>
      <c r="B37" s="82">
        <f t="shared" si="3"/>
        <v>44531</v>
      </c>
      <c r="C37" s="83">
        <f t="shared" si="4"/>
        <v>17068.934815374283</v>
      </c>
      <c r="E37" s="77">
        <f t="shared" si="0"/>
        <v>6612.6241195068105</v>
      </c>
      <c r="F37" s="77">
        <f t="shared" si="1"/>
        <v>10456.310695867473</v>
      </c>
      <c r="G37" s="77">
        <f t="shared" si="2"/>
        <v>72201.49079796765</v>
      </c>
      <c r="H37" s="85"/>
      <c r="I37" s="86">
        <v>22</v>
      </c>
      <c r="J37" s="81">
        <f t="shared" si="5"/>
        <v>44531</v>
      </c>
      <c r="K37" s="79">
        <f t="shared" si="6"/>
        <v>0</v>
      </c>
      <c r="L37" s="79"/>
      <c r="M37" s="79" t="str">
        <f t="shared" si="7"/>
        <v/>
      </c>
      <c r="N37" s="79">
        <f t="shared" si="8"/>
        <v>0</v>
      </c>
      <c r="O37" s="79">
        <f t="shared" si="9"/>
        <v>0</v>
      </c>
    </row>
    <row r="38" spans="1:15" x14ac:dyDescent="0.3">
      <c r="A38" s="75">
        <v>23</v>
      </c>
      <c r="B38" s="82">
        <f t="shared" si="3"/>
        <v>44562</v>
      </c>
      <c r="C38" s="83">
        <f t="shared" si="4"/>
        <v>17068.934815374283</v>
      </c>
      <c r="E38" s="77">
        <f t="shared" si="0"/>
        <v>5776.1192638374123</v>
      </c>
      <c r="F38" s="77">
        <f t="shared" si="1"/>
        <v>11292.815551536871</v>
      </c>
      <c r="G38" s="77">
        <f t="shared" si="2"/>
        <v>60908.675246430779</v>
      </c>
      <c r="H38" s="85"/>
      <c r="I38" s="86">
        <v>23</v>
      </c>
      <c r="J38" s="81">
        <f t="shared" si="5"/>
        <v>44562</v>
      </c>
      <c r="K38" s="79">
        <f t="shared" si="6"/>
        <v>0</v>
      </c>
      <c r="L38" s="79"/>
      <c r="M38" s="79" t="str">
        <f t="shared" si="7"/>
        <v/>
      </c>
      <c r="N38" s="79">
        <f t="shared" si="8"/>
        <v>0</v>
      </c>
      <c r="O38" s="79">
        <f t="shared" si="9"/>
        <v>0</v>
      </c>
    </row>
    <row r="39" spans="1:15" x14ac:dyDescent="0.3">
      <c r="A39" s="75">
        <v>24</v>
      </c>
      <c r="B39" s="82">
        <f t="shared" si="3"/>
        <v>44593</v>
      </c>
      <c r="C39" s="83">
        <f t="shared" si="4"/>
        <v>17068.934815374283</v>
      </c>
      <c r="E39" s="77">
        <f t="shared" si="0"/>
        <v>4872.6940197144622</v>
      </c>
      <c r="F39" s="77">
        <f t="shared" si="1"/>
        <v>12196.240795659822</v>
      </c>
      <c r="G39" s="77">
        <f t="shared" si="2"/>
        <v>48712.434450770961</v>
      </c>
      <c r="H39" s="85"/>
      <c r="I39" s="86">
        <v>24</v>
      </c>
      <c r="J39" s="81">
        <f t="shared" si="5"/>
        <v>44593</v>
      </c>
      <c r="K39" s="79">
        <f t="shared" si="6"/>
        <v>0</v>
      </c>
      <c r="L39" s="79"/>
      <c r="M39" s="79" t="str">
        <f t="shared" si="7"/>
        <v/>
      </c>
      <c r="N39" s="79">
        <f t="shared" si="8"/>
        <v>0</v>
      </c>
      <c r="O39" s="79">
        <f t="shared" si="9"/>
        <v>0</v>
      </c>
    </row>
    <row r="40" spans="1:15" x14ac:dyDescent="0.3">
      <c r="A40" s="75">
        <v>25</v>
      </c>
      <c r="B40" s="82">
        <f t="shared" si="3"/>
        <v>44621</v>
      </c>
      <c r="C40" s="83">
        <f t="shared" si="4"/>
        <v>17068.934815374283</v>
      </c>
      <c r="E40" s="77">
        <f t="shared" si="0"/>
        <v>3896.994756061677</v>
      </c>
      <c r="F40" s="77">
        <f t="shared" si="1"/>
        <v>13171.940059312607</v>
      </c>
      <c r="G40" s="77">
        <f t="shared" si="2"/>
        <v>35540.494391458356</v>
      </c>
      <c r="H40" s="85"/>
      <c r="I40" s="86">
        <v>25</v>
      </c>
      <c r="J40" s="81">
        <f t="shared" si="5"/>
        <v>44621</v>
      </c>
      <c r="K40" s="79">
        <f t="shared" si="6"/>
        <v>0</v>
      </c>
      <c r="L40" s="79"/>
      <c r="M40" s="79" t="str">
        <f t="shared" si="7"/>
        <v/>
      </c>
      <c r="N40" s="79">
        <f t="shared" si="8"/>
        <v>0</v>
      </c>
      <c r="O40" s="79">
        <f t="shared" si="9"/>
        <v>0</v>
      </c>
    </row>
    <row r="41" spans="1:15" x14ac:dyDescent="0.3">
      <c r="A41" s="75">
        <v>26</v>
      </c>
      <c r="B41" s="82">
        <f t="shared" si="3"/>
        <v>44652</v>
      </c>
      <c r="C41" s="83">
        <f t="shared" si="4"/>
        <v>17068.934815374283</v>
      </c>
      <c r="E41" s="77">
        <f t="shared" si="0"/>
        <v>2843.2395513166684</v>
      </c>
      <c r="F41" s="77">
        <f t="shared" si="1"/>
        <v>14225.695264057615</v>
      </c>
      <c r="G41" s="77">
        <f t="shared" si="2"/>
        <v>21314.799127400744</v>
      </c>
      <c r="H41" s="85"/>
      <c r="I41" s="86">
        <v>26</v>
      </c>
      <c r="J41" s="81">
        <f t="shared" si="5"/>
        <v>44652</v>
      </c>
      <c r="K41" s="79">
        <f t="shared" si="6"/>
        <v>0</v>
      </c>
      <c r="L41" s="79"/>
      <c r="M41" s="79" t="str">
        <f t="shared" si="7"/>
        <v/>
      </c>
      <c r="N41" s="79">
        <f t="shared" si="8"/>
        <v>0</v>
      </c>
      <c r="O41" s="79">
        <f t="shared" si="9"/>
        <v>0</v>
      </c>
    </row>
    <row r="42" spans="1:15" x14ac:dyDescent="0.3">
      <c r="A42" s="75">
        <v>27</v>
      </c>
      <c r="B42" s="82">
        <f t="shared" si="3"/>
        <v>44682</v>
      </c>
      <c r="C42" s="83">
        <f t="shared" si="4"/>
        <v>17068.934815374283</v>
      </c>
      <c r="E42" s="77">
        <f t="shared" si="0"/>
        <v>1705.1839301920595</v>
      </c>
      <c r="F42" s="77">
        <f t="shared" si="1"/>
        <v>15363.750885182224</v>
      </c>
      <c r="G42" s="77">
        <f t="shared" si="2"/>
        <v>5951.0482422185196</v>
      </c>
      <c r="H42" s="85"/>
      <c r="I42" s="86">
        <v>27</v>
      </c>
      <c r="J42" s="81">
        <f t="shared" si="5"/>
        <v>44682</v>
      </c>
      <c r="K42" s="79">
        <f t="shared" si="6"/>
        <v>0</v>
      </c>
      <c r="L42" s="79"/>
      <c r="M42" s="79" t="str">
        <f t="shared" si="7"/>
        <v/>
      </c>
      <c r="N42" s="79">
        <f t="shared" si="8"/>
        <v>0</v>
      </c>
      <c r="O42" s="79">
        <f t="shared" si="9"/>
        <v>0</v>
      </c>
    </row>
    <row r="43" spans="1:15" x14ac:dyDescent="0.3">
      <c r="A43" s="75">
        <v>28</v>
      </c>
      <c r="B43" s="82">
        <f t="shared" si="3"/>
        <v>44713</v>
      </c>
      <c r="C43" s="83">
        <f t="shared" si="4"/>
        <v>6427.1321015960011</v>
      </c>
      <c r="E43" s="77">
        <f t="shared" si="0"/>
        <v>476.08385937748159</v>
      </c>
      <c r="F43" s="77">
        <f t="shared" si="1"/>
        <v>5951.0482422185196</v>
      </c>
      <c r="G43" s="77">
        <f t="shared" si="2"/>
        <v>0</v>
      </c>
      <c r="H43" s="85"/>
      <c r="I43" s="86">
        <v>28</v>
      </c>
      <c r="J43" s="81">
        <f t="shared" si="5"/>
        <v>44713</v>
      </c>
      <c r="K43" s="79">
        <f t="shared" si="6"/>
        <v>0</v>
      </c>
      <c r="L43" s="79"/>
      <c r="M43" s="79" t="str">
        <f t="shared" si="7"/>
        <v/>
      </c>
      <c r="N43" s="79">
        <f t="shared" si="8"/>
        <v>0</v>
      </c>
      <c r="O43" s="79">
        <f t="shared" si="9"/>
        <v>0</v>
      </c>
    </row>
    <row r="44" spans="1:15" x14ac:dyDescent="0.3">
      <c r="A44" s="75">
        <v>29</v>
      </c>
      <c r="B44" s="82">
        <f t="shared" si="3"/>
        <v>44743</v>
      </c>
      <c r="C44" s="83">
        <f t="shared" si="4"/>
        <v>0</v>
      </c>
      <c r="E44" s="77">
        <f t="shared" si="0"/>
        <v>0</v>
      </c>
      <c r="F44" s="77">
        <f t="shared" si="1"/>
        <v>0</v>
      </c>
      <c r="G44" s="77">
        <f t="shared" si="2"/>
        <v>0</v>
      </c>
      <c r="H44" s="85"/>
      <c r="I44" s="86">
        <v>29</v>
      </c>
      <c r="J44" s="81">
        <f t="shared" si="5"/>
        <v>44743</v>
      </c>
      <c r="K44" s="79">
        <f t="shared" si="6"/>
        <v>0</v>
      </c>
      <c r="L44" s="79"/>
      <c r="M44" s="79" t="str">
        <f t="shared" si="7"/>
        <v/>
      </c>
      <c r="N44" s="79">
        <f t="shared" si="8"/>
        <v>0</v>
      </c>
      <c r="O44" s="79">
        <f t="shared" si="9"/>
        <v>0</v>
      </c>
    </row>
    <row r="45" spans="1:15" x14ac:dyDescent="0.3">
      <c r="A45" s="75">
        <v>30</v>
      </c>
      <c r="B45" s="82">
        <f t="shared" si="3"/>
        <v>44774</v>
      </c>
      <c r="C45" s="83">
        <f t="shared" si="4"/>
        <v>0</v>
      </c>
      <c r="E45" s="77">
        <f t="shared" si="0"/>
        <v>0</v>
      </c>
      <c r="F45" s="77">
        <f t="shared" si="1"/>
        <v>0</v>
      </c>
      <c r="G45" s="77">
        <f t="shared" si="2"/>
        <v>0</v>
      </c>
      <c r="H45" s="85"/>
      <c r="I45" s="86">
        <v>30</v>
      </c>
      <c r="J45" s="81">
        <f t="shared" si="5"/>
        <v>44774</v>
      </c>
      <c r="K45" s="79">
        <f t="shared" si="6"/>
        <v>0</v>
      </c>
      <c r="L45" s="79"/>
      <c r="M45" s="79" t="str">
        <f t="shared" si="7"/>
        <v/>
      </c>
      <c r="N45" s="79">
        <f t="shared" si="8"/>
        <v>0</v>
      </c>
      <c r="O45" s="79">
        <f t="shared" si="9"/>
        <v>0</v>
      </c>
    </row>
    <row r="46" spans="1:15" x14ac:dyDescent="0.3">
      <c r="A46" s="75">
        <v>31</v>
      </c>
      <c r="B46" s="82">
        <f t="shared" si="3"/>
        <v>44805</v>
      </c>
      <c r="C46" s="83">
        <f t="shared" si="4"/>
        <v>0</v>
      </c>
      <c r="E46" s="77">
        <f t="shared" si="0"/>
        <v>0</v>
      </c>
      <c r="F46" s="77">
        <f t="shared" si="1"/>
        <v>0</v>
      </c>
      <c r="G46" s="77">
        <f t="shared" si="2"/>
        <v>0</v>
      </c>
      <c r="H46" s="85"/>
      <c r="I46" s="86">
        <v>31</v>
      </c>
      <c r="J46" s="81">
        <f t="shared" si="5"/>
        <v>44805</v>
      </c>
      <c r="K46" s="79">
        <f t="shared" si="6"/>
        <v>0</v>
      </c>
      <c r="L46" s="79"/>
      <c r="M46" s="79" t="str">
        <f t="shared" si="7"/>
        <v/>
      </c>
      <c r="N46" s="79">
        <f t="shared" si="8"/>
        <v>0</v>
      </c>
      <c r="O46" s="79">
        <f t="shared" si="9"/>
        <v>0</v>
      </c>
    </row>
    <row r="47" spans="1:15" x14ac:dyDescent="0.3">
      <c r="A47" s="75">
        <v>32</v>
      </c>
      <c r="B47" s="82">
        <f t="shared" si="3"/>
        <v>44835</v>
      </c>
      <c r="C47" s="83">
        <f t="shared" si="4"/>
        <v>0</v>
      </c>
      <c r="E47" s="77">
        <f t="shared" si="0"/>
        <v>0</v>
      </c>
      <c r="F47" s="77">
        <f t="shared" si="1"/>
        <v>0</v>
      </c>
      <c r="G47" s="77">
        <f t="shared" si="2"/>
        <v>0</v>
      </c>
      <c r="H47" s="85"/>
      <c r="I47" s="86">
        <v>32</v>
      </c>
      <c r="J47" s="81">
        <f t="shared" si="5"/>
        <v>44835</v>
      </c>
      <c r="K47" s="79">
        <f t="shared" si="6"/>
        <v>0</v>
      </c>
      <c r="L47" s="79"/>
      <c r="M47" s="79" t="str">
        <f t="shared" si="7"/>
        <v/>
      </c>
      <c r="N47" s="79">
        <f t="shared" si="8"/>
        <v>0</v>
      </c>
      <c r="O47" s="79">
        <f t="shared" si="9"/>
        <v>0</v>
      </c>
    </row>
    <row r="48" spans="1:15" x14ac:dyDescent="0.3">
      <c r="A48" s="75">
        <v>33</v>
      </c>
      <c r="B48" s="82">
        <f t="shared" si="3"/>
        <v>44866</v>
      </c>
      <c r="C48" s="83">
        <f t="shared" si="4"/>
        <v>0</v>
      </c>
      <c r="E48" s="77">
        <f t="shared" si="0"/>
        <v>0</v>
      </c>
      <c r="F48" s="77">
        <f t="shared" si="1"/>
        <v>0</v>
      </c>
      <c r="G48" s="77">
        <f t="shared" si="2"/>
        <v>0</v>
      </c>
      <c r="H48" s="85"/>
      <c r="I48" s="86">
        <v>33</v>
      </c>
      <c r="J48" s="81">
        <f t="shared" si="5"/>
        <v>44866</v>
      </c>
      <c r="K48" s="79">
        <f t="shared" si="6"/>
        <v>0</v>
      </c>
      <c r="L48" s="79"/>
      <c r="M48" s="79" t="str">
        <f t="shared" si="7"/>
        <v/>
      </c>
      <c r="N48" s="79">
        <f t="shared" si="8"/>
        <v>0</v>
      </c>
      <c r="O48" s="79">
        <f t="shared" si="9"/>
        <v>0</v>
      </c>
    </row>
    <row r="49" spans="1:15" x14ac:dyDescent="0.3">
      <c r="A49" s="75">
        <v>34</v>
      </c>
      <c r="B49" s="82">
        <f t="shared" si="3"/>
        <v>44896</v>
      </c>
      <c r="C49" s="83">
        <f t="shared" si="4"/>
        <v>0</v>
      </c>
      <c r="E49" s="77">
        <f t="shared" si="0"/>
        <v>0</v>
      </c>
      <c r="F49" s="77">
        <f t="shared" si="1"/>
        <v>0</v>
      </c>
      <c r="G49" s="77">
        <f t="shared" si="2"/>
        <v>0</v>
      </c>
      <c r="H49" s="85"/>
      <c r="I49" s="86">
        <v>34</v>
      </c>
      <c r="J49" s="81">
        <f t="shared" si="5"/>
        <v>44896</v>
      </c>
      <c r="K49" s="79">
        <f t="shared" si="6"/>
        <v>0</v>
      </c>
      <c r="L49" s="79"/>
      <c r="M49" s="79" t="str">
        <f t="shared" si="7"/>
        <v/>
      </c>
      <c r="N49" s="79">
        <f t="shared" si="8"/>
        <v>0</v>
      </c>
      <c r="O49" s="79">
        <f t="shared" si="9"/>
        <v>0</v>
      </c>
    </row>
    <row r="50" spans="1:15" x14ac:dyDescent="0.3">
      <c r="A50" s="75">
        <v>35</v>
      </c>
      <c r="B50" s="82">
        <f t="shared" si="3"/>
        <v>44927</v>
      </c>
      <c r="C50" s="83">
        <f t="shared" si="4"/>
        <v>0</v>
      </c>
      <c r="E50" s="77">
        <f t="shared" si="0"/>
        <v>0</v>
      </c>
      <c r="F50" s="77">
        <f t="shared" si="1"/>
        <v>0</v>
      </c>
      <c r="G50" s="77">
        <f t="shared" si="2"/>
        <v>0</v>
      </c>
      <c r="H50" s="85"/>
      <c r="I50" s="86">
        <v>35</v>
      </c>
      <c r="J50" s="81">
        <f t="shared" si="5"/>
        <v>44927</v>
      </c>
      <c r="K50" s="79">
        <f t="shared" si="6"/>
        <v>0</v>
      </c>
      <c r="L50" s="79"/>
      <c r="M50" s="79" t="str">
        <f t="shared" si="7"/>
        <v/>
      </c>
      <c r="N50" s="79">
        <f t="shared" si="8"/>
        <v>0</v>
      </c>
      <c r="O50" s="79">
        <f t="shared" si="9"/>
        <v>0</v>
      </c>
    </row>
    <row r="51" spans="1:15" x14ac:dyDescent="0.3">
      <c r="A51" s="75">
        <v>36</v>
      </c>
      <c r="B51" s="82">
        <f t="shared" si="3"/>
        <v>44958</v>
      </c>
      <c r="C51" s="83">
        <f t="shared" si="4"/>
        <v>0</v>
      </c>
      <c r="E51" s="77">
        <f t="shared" si="0"/>
        <v>0</v>
      </c>
      <c r="F51" s="77">
        <f t="shared" si="1"/>
        <v>0</v>
      </c>
      <c r="G51" s="77">
        <f t="shared" si="2"/>
        <v>0</v>
      </c>
      <c r="H51" s="85"/>
      <c r="I51" s="86">
        <v>36</v>
      </c>
      <c r="J51" s="81">
        <f t="shared" si="5"/>
        <v>44958</v>
      </c>
      <c r="K51" s="79">
        <f t="shared" si="6"/>
        <v>0</v>
      </c>
      <c r="L51" s="79"/>
      <c r="M51" s="79" t="str">
        <f t="shared" si="7"/>
        <v/>
      </c>
      <c r="N51" s="79">
        <f t="shared" si="8"/>
        <v>0</v>
      </c>
      <c r="O51" s="79">
        <f t="shared" si="9"/>
        <v>0</v>
      </c>
    </row>
    <row r="52" spans="1:15" x14ac:dyDescent="0.3">
      <c r="H52" s="85"/>
    </row>
    <row r="53" spans="1:15" x14ac:dyDescent="0.3">
      <c r="H53" s="85"/>
    </row>
    <row r="54" spans="1:15" x14ac:dyDescent="0.3">
      <c r="H54" s="85"/>
    </row>
    <row r="55" spans="1:15" x14ac:dyDescent="0.3">
      <c r="H55" s="85"/>
    </row>
    <row r="56" spans="1:15" x14ac:dyDescent="0.3">
      <c r="H56" s="85"/>
    </row>
  </sheetData>
  <mergeCells count="3">
    <mergeCell ref="A12:O12"/>
    <mergeCell ref="A13:G13"/>
    <mergeCell ref="I13:O13"/>
  </mergeCells>
  <conditionalFormatting sqref="F4:F5">
    <cfRule type="iconSet" priority="1">
      <iconSet iconSet="4Arrows">
        <cfvo type="percent" val="0"/>
        <cfvo type="percent" val="25"/>
        <cfvo type="percent" val="50"/>
        <cfvo type="percent" val="75"/>
      </iconSet>
    </cfRule>
    <cfRule type="iconSet" priority="2">
      <iconSet iconSet="3Arrows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C4" xr:uid="{0D65FA4A-26A3-4830-9319-8D795139A531}">
      <formula1>$V$2:$V$19</formula1>
    </dataValidation>
    <dataValidation type="list" allowBlank="1" showInputMessage="1" showErrorMessage="1" sqref="C6" xr:uid="{45D65A82-C0FE-455B-B947-59C6D4A56EA4}">
      <formula1>$W$2:$W$31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2B8B7-FE09-426B-89F9-DEFA1D9EB3FE}">
  <sheetPr codeName="Sheet3"/>
  <dimension ref="A1:R380"/>
  <sheetViews>
    <sheetView showGridLines="0" workbookViewId="0">
      <selection activeCell="G15" sqref="G15"/>
    </sheetView>
  </sheetViews>
  <sheetFormatPr defaultRowHeight="14.4" x14ac:dyDescent="0.3"/>
  <cols>
    <col min="1" max="1" width="8.88671875" style="32"/>
    <col min="2" max="2" width="8.88671875" style="46"/>
    <col min="3" max="3" width="21.6640625" customWidth="1"/>
    <col min="4" max="4" width="15.44140625" bestFit="1" customWidth="1"/>
    <col min="5" max="5" width="21.5546875" bestFit="1" customWidth="1"/>
    <col min="6" max="6" width="12.21875" bestFit="1" customWidth="1"/>
    <col min="7" max="7" width="33.33203125" bestFit="1" customWidth="1"/>
    <col min="8" max="8" width="15.6640625" bestFit="1" customWidth="1"/>
    <col min="9" max="17" width="8.88671875" style="32"/>
    <col min="18" max="18" width="8.88671875" style="49"/>
  </cols>
  <sheetData>
    <row r="1" spans="2:18" s="43" customFormat="1" x14ac:dyDescent="0.3">
      <c r="B1" s="47"/>
      <c r="C1" s="48"/>
      <c r="D1" s="48"/>
      <c r="E1" s="48"/>
      <c r="F1" s="48"/>
      <c r="G1" s="48"/>
      <c r="H1" s="48"/>
      <c r="R1" s="49"/>
    </row>
    <row r="2" spans="2:18" ht="15" customHeight="1" x14ac:dyDescent="0.3">
      <c r="B2" s="103" t="s">
        <v>28</v>
      </c>
      <c r="C2" s="103"/>
      <c r="D2" s="103"/>
      <c r="E2" s="103"/>
      <c r="F2" s="103"/>
      <c r="G2" s="103"/>
      <c r="H2" s="103"/>
    </row>
    <row r="3" spans="2:18" ht="15" customHeight="1" x14ac:dyDescent="0.3">
      <c r="B3" s="103"/>
      <c r="C3" s="103"/>
      <c r="D3" s="103"/>
      <c r="E3" s="103"/>
      <c r="F3" s="103"/>
      <c r="G3" s="103"/>
      <c r="H3" s="103"/>
    </row>
    <row r="4" spans="2:18" ht="15.75" customHeight="1" x14ac:dyDescent="0.3">
      <c r="B4" s="103"/>
      <c r="C4" s="103"/>
      <c r="D4" s="103"/>
      <c r="E4" s="103"/>
      <c r="F4" s="103"/>
      <c r="G4" s="103"/>
      <c r="H4" s="103"/>
    </row>
    <row r="5" spans="2:18" ht="6.75" customHeight="1" x14ac:dyDescent="0.3">
      <c r="B5" s="44"/>
      <c r="C5" s="8"/>
      <c r="D5" s="8"/>
      <c r="E5" s="8"/>
      <c r="F5" s="8"/>
      <c r="G5" s="8"/>
      <c r="H5" s="24"/>
    </row>
    <row r="6" spans="2:18" ht="18" x14ac:dyDescent="0.35">
      <c r="B6" s="104" t="s">
        <v>2</v>
      </c>
      <c r="C6" s="105"/>
      <c r="D6" s="105"/>
      <c r="E6" s="8"/>
      <c r="F6" s="8"/>
      <c r="G6" s="105" t="s">
        <v>14</v>
      </c>
      <c r="H6" s="106"/>
    </row>
    <row r="7" spans="2:18" ht="9.75" customHeight="1" thickBot="1" x14ac:dyDescent="0.4">
      <c r="B7" s="107"/>
      <c r="C7" s="108"/>
      <c r="D7" s="108"/>
      <c r="E7" s="8"/>
      <c r="F7" s="8"/>
      <c r="G7" s="10"/>
      <c r="H7" s="25"/>
    </row>
    <row r="8" spans="2:18" ht="18.600000000000001" thickBot="1" x14ac:dyDescent="0.4">
      <c r="B8" s="97" t="s">
        <v>0</v>
      </c>
      <c r="C8" s="98"/>
      <c r="D8" s="20">
        <f>DASHBOARD!C3</f>
        <v>200000</v>
      </c>
      <c r="E8" s="7"/>
      <c r="F8" s="7"/>
      <c r="G8" s="12" t="s">
        <v>3</v>
      </c>
      <c r="H8" s="26">
        <f>D9/12</f>
        <v>1.6666666666666668E-3</v>
      </c>
    </row>
    <row r="9" spans="2:18" ht="18.600000000000001" thickBot="1" x14ac:dyDescent="0.4">
      <c r="B9" s="99" t="s">
        <v>1</v>
      </c>
      <c r="C9" s="100"/>
      <c r="D9" s="21">
        <f>DASHBOARD!C4</f>
        <v>0.02</v>
      </c>
      <c r="E9" s="7"/>
      <c r="F9" s="7"/>
      <c r="G9" s="13" t="s">
        <v>4</v>
      </c>
      <c r="H9" s="11">
        <f>H12+H10</f>
        <v>211666.66666666669</v>
      </c>
    </row>
    <row r="10" spans="2:18" ht="18.600000000000001" thickBot="1" x14ac:dyDescent="0.4">
      <c r="B10" s="97" t="s">
        <v>11</v>
      </c>
      <c r="C10" s="98"/>
      <c r="D10" s="19">
        <f>DASHBOARD!C6</f>
        <v>3</v>
      </c>
      <c r="E10" s="7"/>
      <c r="F10" s="7"/>
      <c r="G10" s="13" t="s">
        <v>5</v>
      </c>
      <c r="H10" s="11">
        <f>SUBTOTAL(9,F21:F380)</f>
        <v>11666.666666666672</v>
      </c>
    </row>
    <row r="11" spans="2:18" ht="18.600000000000001" thickBot="1" x14ac:dyDescent="0.4">
      <c r="B11" s="97" t="s">
        <v>23</v>
      </c>
      <c r="C11" s="98"/>
      <c r="D11" s="40">
        <f>DASHBOARD!C8</f>
        <v>43912</v>
      </c>
      <c r="E11" s="38"/>
      <c r="F11" s="7"/>
      <c r="G11" s="13" t="s">
        <v>27</v>
      </c>
      <c r="H11" s="11">
        <f>SUM(E21:E380)</f>
        <v>0</v>
      </c>
    </row>
    <row r="12" spans="2:18" ht="18.600000000000001" thickBot="1" x14ac:dyDescent="0.4">
      <c r="B12" s="99" t="s">
        <v>9</v>
      </c>
      <c r="C12" s="100"/>
      <c r="D12" s="18">
        <f>EOMONTH(D11,0)+1</f>
        <v>43922</v>
      </c>
      <c r="E12" s="6"/>
      <c r="F12" s="39"/>
      <c r="G12" s="13" t="s">
        <v>6</v>
      </c>
      <c r="H12" s="11">
        <f>SUM(G21:G380)+SUM(E21:E380)</f>
        <v>200000</v>
      </c>
    </row>
    <row r="13" spans="2:18" ht="18.600000000000001" thickBot="1" x14ac:dyDescent="0.4">
      <c r="B13" s="97" t="s">
        <v>25</v>
      </c>
      <c r="C13" s="98"/>
      <c r="D13" s="17">
        <f>D9/12</f>
        <v>1.6666666666666668E-3</v>
      </c>
      <c r="E13" s="7"/>
      <c r="F13" s="7"/>
      <c r="G13" s="14" t="s">
        <v>7</v>
      </c>
      <c r="H13" s="15">
        <f>D8-H12</f>
        <v>0</v>
      </c>
    </row>
    <row r="14" spans="2:18" ht="18.600000000000001" thickBot="1" x14ac:dyDescent="0.4">
      <c r="B14" s="99" t="s">
        <v>12</v>
      </c>
      <c r="C14" s="100"/>
      <c r="D14" s="19">
        <f>D10*12</f>
        <v>36</v>
      </c>
      <c r="E14" s="7"/>
      <c r="F14" s="7"/>
      <c r="H14" s="3"/>
    </row>
    <row r="15" spans="2:18" ht="18.600000000000001" thickBot="1" x14ac:dyDescent="0.4">
      <c r="B15" s="101" t="s">
        <v>17</v>
      </c>
      <c r="C15" s="102"/>
      <c r="D15" s="22">
        <f>ABS(PMT(D13,D14,D8))</f>
        <v>5728.5157464912763</v>
      </c>
      <c r="E15" s="7"/>
      <c r="F15" s="7"/>
      <c r="G15" s="9"/>
      <c r="H15" s="3"/>
    </row>
    <row r="16" spans="2:18" ht="9" customHeight="1" thickBot="1" x14ac:dyDescent="0.4">
      <c r="B16" s="45"/>
      <c r="C16" s="27"/>
      <c r="D16" s="28"/>
      <c r="E16" s="29"/>
      <c r="F16" s="29"/>
      <c r="G16" s="30"/>
      <c r="H16" s="31"/>
    </row>
    <row r="17" spans="2:8" ht="15" customHeight="1" x14ac:dyDescent="0.35">
      <c r="B17" s="95" t="s">
        <v>15</v>
      </c>
      <c r="C17" s="96"/>
      <c r="H17" s="16"/>
    </row>
    <row r="18" spans="2:8" ht="6" customHeight="1" thickBot="1" x14ac:dyDescent="0.35">
      <c r="B18" s="44"/>
      <c r="H18" s="16"/>
    </row>
    <row r="19" spans="2:8" ht="18.600000000000001" thickBot="1" x14ac:dyDescent="0.4">
      <c r="B19" s="33" t="s">
        <v>20</v>
      </c>
      <c r="C19" s="34" t="s">
        <v>21</v>
      </c>
      <c r="D19" s="35" t="s">
        <v>18</v>
      </c>
      <c r="E19" s="35" t="s">
        <v>19</v>
      </c>
      <c r="F19" s="36" t="s">
        <v>26</v>
      </c>
      <c r="G19" s="36" t="s">
        <v>16</v>
      </c>
      <c r="H19" s="37" t="s">
        <v>13</v>
      </c>
    </row>
    <row r="20" spans="2:8" ht="18" x14ac:dyDescent="0.35">
      <c r="B20" s="2">
        <v>0</v>
      </c>
      <c r="C20" s="2"/>
      <c r="D20" s="1"/>
      <c r="E20" s="1"/>
      <c r="F20" s="1"/>
      <c r="G20" s="1"/>
      <c r="H20" s="1">
        <f>D8</f>
        <v>200000</v>
      </c>
    </row>
    <row r="21" spans="2:8" ht="18" x14ac:dyDescent="0.35">
      <c r="B21" s="2" cm="1">
        <f t="array" ref="B21:B56">_xlfn.SEQUENCE(D14)</f>
        <v>1</v>
      </c>
      <c r="C21" s="5">
        <f>D12</f>
        <v>43922</v>
      </c>
      <c r="D21" s="1">
        <f>D15-E21</f>
        <v>5728.5157464912763</v>
      </c>
      <c r="E21" s="4">
        <v>0</v>
      </c>
      <c r="F21" s="1">
        <f>H20*H8</f>
        <v>333.33333333333337</v>
      </c>
      <c r="G21" s="1">
        <f>IF(B21="","",D21+E21)</f>
        <v>5728.5157464912763</v>
      </c>
      <c r="H21" s="1">
        <f>IF(B21="","",H20-G21-E21)</f>
        <v>194271.48425350874</v>
      </c>
    </row>
    <row r="22" spans="2:8" ht="18" x14ac:dyDescent="0.35">
      <c r="B22" s="2">
        <v>2</v>
      </c>
      <c r="C22" s="5">
        <f>IF(H21=0,"",IF(B22="","",EOMONTH(C21,0)+1))</f>
        <v>43952</v>
      </c>
      <c r="D22" s="1">
        <f>IF(H21&lt;$D$15,H21,IF(B22="","",MIN(H21+F22,$D$15)))</f>
        <v>5728.5157464912763</v>
      </c>
      <c r="E22" s="4">
        <v>0</v>
      </c>
      <c r="F22" s="1">
        <f>IF(H21=0,"",IF(B22="","",$H$20*$H$8))</f>
        <v>333.33333333333337</v>
      </c>
      <c r="G22" s="1">
        <f t="shared" ref="G22:G85" si="0">IF(B22="","",D22+E22)</f>
        <v>5728.5157464912763</v>
      </c>
      <c r="H22" s="1">
        <f t="shared" ref="H22:H85" si="1">IF(B22="","",H21-G22-E22)</f>
        <v>188542.96850701747</v>
      </c>
    </row>
    <row r="23" spans="2:8" ht="18" x14ac:dyDescent="0.35">
      <c r="B23" s="2">
        <v>3</v>
      </c>
      <c r="C23" s="5">
        <f t="shared" ref="C23:C86" si="2">IF(H22=0,"",IF(B23="","",EOMONTH(C22,0)+1))</f>
        <v>43983</v>
      </c>
      <c r="D23" s="1">
        <f t="shared" ref="D23:D86" si="3">IF(H22&lt;$D$15,H22,IF(B23="","",MIN(H22+F23,$D$15)))</f>
        <v>5728.5157464912763</v>
      </c>
      <c r="E23" s="4">
        <v>0</v>
      </c>
      <c r="F23" s="1">
        <f t="shared" ref="F23:F86" si="4">IF(H22=0,"",IF(B23="","",$H$20*$H$8))</f>
        <v>333.33333333333337</v>
      </c>
      <c r="G23" s="1">
        <f t="shared" si="0"/>
        <v>5728.5157464912763</v>
      </c>
      <c r="H23" s="1">
        <f t="shared" si="1"/>
        <v>182814.45276052621</v>
      </c>
    </row>
    <row r="24" spans="2:8" ht="18" x14ac:dyDescent="0.35">
      <c r="B24" s="2">
        <v>4</v>
      </c>
      <c r="C24" s="5">
        <f t="shared" si="2"/>
        <v>44013</v>
      </c>
      <c r="D24" s="1">
        <f t="shared" si="3"/>
        <v>5728.5157464912763</v>
      </c>
      <c r="E24" s="4">
        <v>0</v>
      </c>
      <c r="F24" s="1">
        <f t="shared" si="4"/>
        <v>333.33333333333337</v>
      </c>
      <c r="G24" s="1">
        <f t="shared" si="0"/>
        <v>5728.5157464912763</v>
      </c>
      <c r="H24" s="1">
        <f t="shared" si="1"/>
        <v>177085.93701403495</v>
      </c>
    </row>
    <row r="25" spans="2:8" ht="18" x14ac:dyDescent="0.35">
      <c r="B25" s="2">
        <v>5</v>
      </c>
      <c r="C25" s="5">
        <f t="shared" si="2"/>
        <v>44044</v>
      </c>
      <c r="D25" s="1">
        <f t="shared" si="3"/>
        <v>5728.5157464912763</v>
      </c>
      <c r="E25" s="4">
        <v>0</v>
      </c>
      <c r="F25" s="1">
        <f t="shared" si="4"/>
        <v>333.33333333333337</v>
      </c>
      <c r="G25" s="1">
        <f t="shared" si="0"/>
        <v>5728.5157464912763</v>
      </c>
      <c r="H25" s="1">
        <f t="shared" si="1"/>
        <v>171357.42126754369</v>
      </c>
    </row>
    <row r="26" spans="2:8" ht="18" x14ac:dyDescent="0.35">
      <c r="B26" s="2">
        <v>6</v>
      </c>
      <c r="C26" s="5">
        <f t="shared" si="2"/>
        <v>44075</v>
      </c>
      <c r="D26" s="1">
        <f t="shared" si="3"/>
        <v>5728.5157464912763</v>
      </c>
      <c r="E26" s="4">
        <v>0</v>
      </c>
      <c r="F26" s="1">
        <f t="shared" si="4"/>
        <v>333.33333333333337</v>
      </c>
      <c r="G26" s="1">
        <f t="shared" si="0"/>
        <v>5728.5157464912763</v>
      </c>
      <c r="H26" s="1">
        <f t="shared" si="1"/>
        <v>165628.90552105242</v>
      </c>
    </row>
    <row r="27" spans="2:8" ht="18" x14ac:dyDescent="0.35">
      <c r="B27" s="2">
        <v>7</v>
      </c>
      <c r="C27" s="5">
        <f t="shared" si="2"/>
        <v>44105</v>
      </c>
      <c r="D27" s="1">
        <f t="shared" si="3"/>
        <v>5728.5157464912763</v>
      </c>
      <c r="E27" s="4">
        <v>0</v>
      </c>
      <c r="F27" s="1">
        <f t="shared" si="4"/>
        <v>333.33333333333337</v>
      </c>
      <c r="G27" s="1">
        <f t="shared" si="0"/>
        <v>5728.5157464912763</v>
      </c>
      <c r="H27" s="1">
        <f t="shared" si="1"/>
        <v>159900.38977456116</v>
      </c>
    </row>
    <row r="28" spans="2:8" ht="18" x14ac:dyDescent="0.35">
      <c r="B28" s="2">
        <v>8</v>
      </c>
      <c r="C28" s="5">
        <f t="shared" si="2"/>
        <v>44136</v>
      </c>
      <c r="D28" s="1">
        <f t="shared" si="3"/>
        <v>5728.5157464912763</v>
      </c>
      <c r="E28" s="4">
        <v>0</v>
      </c>
      <c r="F28" s="1">
        <f t="shared" si="4"/>
        <v>333.33333333333337</v>
      </c>
      <c r="G28" s="1">
        <f t="shared" si="0"/>
        <v>5728.5157464912763</v>
      </c>
      <c r="H28" s="1">
        <f t="shared" si="1"/>
        <v>154171.8740280699</v>
      </c>
    </row>
    <row r="29" spans="2:8" ht="18" x14ac:dyDescent="0.35">
      <c r="B29" s="2">
        <v>9</v>
      </c>
      <c r="C29" s="5">
        <f t="shared" si="2"/>
        <v>44166</v>
      </c>
      <c r="D29" s="1">
        <f t="shared" si="3"/>
        <v>5728.5157464912763</v>
      </c>
      <c r="E29" s="4">
        <v>0</v>
      </c>
      <c r="F29" s="1">
        <f t="shared" si="4"/>
        <v>333.33333333333337</v>
      </c>
      <c r="G29" s="1">
        <f t="shared" si="0"/>
        <v>5728.5157464912763</v>
      </c>
      <c r="H29" s="1">
        <f t="shared" si="1"/>
        <v>148443.35828157864</v>
      </c>
    </row>
    <row r="30" spans="2:8" ht="18" x14ac:dyDescent="0.35">
      <c r="B30" s="2">
        <v>10</v>
      </c>
      <c r="C30" s="5">
        <f t="shared" si="2"/>
        <v>44197</v>
      </c>
      <c r="D30" s="1">
        <f t="shared" si="3"/>
        <v>5728.5157464912763</v>
      </c>
      <c r="E30" s="4">
        <v>0</v>
      </c>
      <c r="F30" s="1">
        <f t="shared" si="4"/>
        <v>333.33333333333337</v>
      </c>
      <c r="G30" s="1">
        <f t="shared" si="0"/>
        <v>5728.5157464912763</v>
      </c>
      <c r="H30" s="1">
        <f t="shared" si="1"/>
        <v>142714.84253508737</v>
      </c>
    </row>
    <row r="31" spans="2:8" ht="18" x14ac:dyDescent="0.35">
      <c r="B31" s="2">
        <v>11</v>
      </c>
      <c r="C31" s="5">
        <f t="shared" si="2"/>
        <v>44228</v>
      </c>
      <c r="D31" s="1">
        <f t="shared" si="3"/>
        <v>5728.5157464912763</v>
      </c>
      <c r="E31" s="4">
        <v>0</v>
      </c>
      <c r="F31" s="1">
        <f t="shared" si="4"/>
        <v>333.33333333333337</v>
      </c>
      <c r="G31" s="1">
        <f t="shared" si="0"/>
        <v>5728.5157464912763</v>
      </c>
      <c r="H31" s="1">
        <f t="shared" si="1"/>
        <v>136986.32678859611</v>
      </c>
    </row>
    <row r="32" spans="2:8" ht="18" x14ac:dyDescent="0.35">
      <c r="B32" s="2">
        <v>12</v>
      </c>
      <c r="C32" s="5">
        <f t="shared" si="2"/>
        <v>44256</v>
      </c>
      <c r="D32" s="1">
        <f t="shared" si="3"/>
        <v>5728.5157464912763</v>
      </c>
      <c r="E32" s="4">
        <v>0</v>
      </c>
      <c r="F32" s="1">
        <f t="shared" si="4"/>
        <v>333.33333333333337</v>
      </c>
      <c r="G32" s="1">
        <f t="shared" si="0"/>
        <v>5728.5157464912763</v>
      </c>
      <c r="H32" s="1">
        <f t="shared" si="1"/>
        <v>131257.81104210485</v>
      </c>
    </row>
    <row r="33" spans="2:8" ht="18" x14ac:dyDescent="0.35">
      <c r="B33" s="2">
        <v>13</v>
      </c>
      <c r="C33" s="5">
        <f t="shared" si="2"/>
        <v>44287</v>
      </c>
      <c r="D33" s="1">
        <f t="shared" si="3"/>
        <v>5728.5157464912763</v>
      </c>
      <c r="E33" s="4">
        <v>0</v>
      </c>
      <c r="F33" s="1">
        <f t="shared" si="4"/>
        <v>333.33333333333337</v>
      </c>
      <c r="G33" s="1">
        <f t="shared" si="0"/>
        <v>5728.5157464912763</v>
      </c>
      <c r="H33" s="1">
        <f t="shared" si="1"/>
        <v>125529.29529561357</v>
      </c>
    </row>
    <row r="34" spans="2:8" ht="18" x14ac:dyDescent="0.35">
      <c r="B34" s="2">
        <v>14</v>
      </c>
      <c r="C34" s="5">
        <f t="shared" si="2"/>
        <v>44317</v>
      </c>
      <c r="D34" s="1">
        <f t="shared" si="3"/>
        <v>5728.5157464912763</v>
      </c>
      <c r="E34" s="4">
        <v>0</v>
      </c>
      <c r="F34" s="1">
        <f t="shared" si="4"/>
        <v>333.33333333333337</v>
      </c>
      <c r="G34" s="1">
        <f t="shared" si="0"/>
        <v>5728.5157464912763</v>
      </c>
      <c r="H34" s="1">
        <f t="shared" si="1"/>
        <v>119800.77954912229</v>
      </c>
    </row>
    <row r="35" spans="2:8" ht="18" x14ac:dyDescent="0.35">
      <c r="B35" s="2">
        <v>15</v>
      </c>
      <c r="C35" s="5">
        <f t="shared" si="2"/>
        <v>44348</v>
      </c>
      <c r="D35" s="1">
        <f t="shared" si="3"/>
        <v>5728.5157464912763</v>
      </c>
      <c r="E35" s="4">
        <v>0</v>
      </c>
      <c r="F35" s="1">
        <f t="shared" si="4"/>
        <v>333.33333333333337</v>
      </c>
      <c r="G35" s="1">
        <f t="shared" si="0"/>
        <v>5728.5157464912763</v>
      </c>
      <c r="H35" s="1">
        <f t="shared" si="1"/>
        <v>114072.26380263102</v>
      </c>
    </row>
    <row r="36" spans="2:8" ht="18" x14ac:dyDescent="0.35">
      <c r="B36" s="2">
        <v>16</v>
      </c>
      <c r="C36" s="5">
        <f t="shared" si="2"/>
        <v>44378</v>
      </c>
      <c r="D36" s="1">
        <f t="shared" si="3"/>
        <v>5728.5157464912763</v>
      </c>
      <c r="E36" s="4">
        <v>0</v>
      </c>
      <c r="F36" s="1">
        <f t="shared" si="4"/>
        <v>333.33333333333337</v>
      </c>
      <c r="G36" s="1">
        <f t="shared" si="0"/>
        <v>5728.5157464912763</v>
      </c>
      <c r="H36" s="1">
        <f t="shared" si="1"/>
        <v>108343.74805613974</v>
      </c>
    </row>
    <row r="37" spans="2:8" ht="18" x14ac:dyDescent="0.35">
      <c r="B37" s="2">
        <v>17</v>
      </c>
      <c r="C37" s="5">
        <f t="shared" si="2"/>
        <v>44409</v>
      </c>
      <c r="D37" s="1">
        <f t="shared" si="3"/>
        <v>5728.5157464912763</v>
      </c>
      <c r="E37" s="4">
        <v>0</v>
      </c>
      <c r="F37" s="1">
        <f t="shared" si="4"/>
        <v>333.33333333333337</v>
      </c>
      <c r="G37" s="1">
        <f t="shared" si="0"/>
        <v>5728.5157464912763</v>
      </c>
      <c r="H37" s="1">
        <f t="shared" si="1"/>
        <v>102615.23230964846</v>
      </c>
    </row>
    <row r="38" spans="2:8" ht="18" x14ac:dyDescent="0.35">
      <c r="B38" s="2">
        <v>18</v>
      </c>
      <c r="C38" s="5">
        <f t="shared" si="2"/>
        <v>44440</v>
      </c>
      <c r="D38" s="1">
        <f t="shared" si="3"/>
        <v>5728.5157464912763</v>
      </c>
      <c r="E38" s="4">
        <v>0</v>
      </c>
      <c r="F38" s="1">
        <f t="shared" si="4"/>
        <v>333.33333333333337</v>
      </c>
      <c r="G38" s="1">
        <f t="shared" si="0"/>
        <v>5728.5157464912763</v>
      </c>
      <c r="H38" s="1">
        <f t="shared" si="1"/>
        <v>96886.716563157184</v>
      </c>
    </row>
    <row r="39" spans="2:8" ht="18" x14ac:dyDescent="0.35">
      <c r="B39" s="2">
        <v>19</v>
      </c>
      <c r="C39" s="5">
        <f t="shared" si="2"/>
        <v>44470</v>
      </c>
      <c r="D39" s="1">
        <f t="shared" si="3"/>
        <v>5728.5157464912763</v>
      </c>
      <c r="E39" s="4">
        <v>0</v>
      </c>
      <c r="F39" s="1">
        <f t="shared" si="4"/>
        <v>333.33333333333337</v>
      </c>
      <c r="G39" s="1">
        <f t="shared" si="0"/>
        <v>5728.5157464912763</v>
      </c>
      <c r="H39" s="1">
        <f t="shared" si="1"/>
        <v>91158.200816665907</v>
      </c>
    </row>
    <row r="40" spans="2:8" ht="18" x14ac:dyDescent="0.35">
      <c r="B40" s="2">
        <v>20</v>
      </c>
      <c r="C40" s="5">
        <f t="shared" si="2"/>
        <v>44501</v>
      </c>
      <c r="D40" s="1">
        <f t="shared" si="3"/>
        <v>5728.5157464912763</v>
      </c>
      <c r="E40" s="4">
        <v>0</v>
      </c>
      <c r="F40" s="1">
        <f t="shared" si="4"/>
        <v>333.33333333333337</v>
      </c>
      <c r="G40" s="1">
        <f t="shared" si="0"/>
        <v>5728.5157464912763</v>
      </c>
      <c r="H40" s="1">
        <f t="shared" si="1"/>
        <v>85429.68507017463</v>
      </c>
    </row>
    <row r="41" spans="2:8" ht="18" x14ac:dyDescent="0.35">
      <c r="B41" s="2">
        <v>21</v>
      </c>
      <c r="C41" s="5">
        <f t="shared" si="2"/>
        <v>44531</v>
      </c>
      <c r="D41" s="1">
        <f t="shared" si="3"/>
        <v>5728.5157464912763</v>
      </c>
      <c r="E41" s="4">
        <v>0</v>
      </c>
      <c r="F41" s="1">
        <f t="shared" si="4"/>
        <v>333.33333333333337</v>
      </c>
      <c r="G41" s="1">
        <f t="shared" si="0"/>
        <v>5728.5157464912763</v>
      </c>
      <c r="H41" s="1">
        <f t="shared" si="1"/>
        <v>79701.169323683353</v>
      </c>
    </row>
    <row r="42" spans="2:8" ht="18" x14ac:dyDescent="0.35">
      <c r="B42" s="2">
        <v>22</v>
      </c>
      <c r="C42" s="5">
        <f t="shared" si="2"/>
        <v>44562</v>
      </c>
      <c r="D42" s="1">
        <f t="shared" si="3"/>
        <v>5728.5157464912763</v>
      </c>
      <c r="E42" s="4">
        <v>0</v>
      </c>
      <c r="F42" s="1">
        <f t="shared" si="4"/>
        <v>333.33333333333337</v>
      </c>
      <c r="G42" s="1">
        <f t="shared" si="0"/>
        <v>5728.5157464912763</v>
      </c>
      <c r="H42" s="1">
        <f t="shared" si="1"/>
        <v>73972.653577192075</v>
      </c>
    </row>
    <row r="43" spans="2:8" ht="18" x14ac:dyDescent="0.35">
      <c r="B43" s="2">
        <v>23</v>
      </c>
      <c r="C43" s="5">
        <f t="shared" si="2"/>
        <v>44593</v>
      </c>
      <c r="D43" s="1">
        <f t="shared" si="3"/>
        <v>5728.5157464912763</v>
      </c>
      <c r="E43" s="4">
        <v>0</v>
      </c>
      <c r="F43" s="1">
        <f t="shared" si="4"/>
        <v>333.33333333333337</v>
      </c>
      <c r="G43" s="1">
        <f t="shared" si="0"/>
        <v>5728.5157464912763</v>
      </c>
      <c r="H43" s="1">
        <f t="shared" si="1"/>
        <v>68244.137830700798</v>
      </c>
    </row>
    <row r="44" spans="2:8" ht="18" x14ac:dyDescent="0.35">
      <c r="B44" s="2">
        <v>24</v>
      </c>
      <c r="C44" s="5">
        <f t="shared" si="2"/>
        <v>44621</v>
      </c>
      <c r="D44" s="1">
        <f t="shared" si="3"/>
        <v>5728.5157464912763</v>
      </c>
      <c r="E44" s="4">
        <v>0</v>
      </c>
      <c r="F44" s="1">
        <f t="shared" si="4"/>
        <v>333.33333333333337</v>
      </c>
      <c r="G44" s="1">
        <f t="shared" si="0"/>
        <v>5728.5157464912763</v>
      </c>
      <c r="H44" s="1">
        <f t="shared" si="1"/>
        <v>62515.622084209521</v>
      </c>
    </row>
    <row r="45" spans="2:8" ht="18" x14ac:dyDescent="0.35">
      <c r="B45" s="2">
        <v>25</v>
      </c>
      <c r="C45" s="5">
        <f t="shared" si="2"/>
        <v>44652</v>
      </c>
      <c r="D45" s="1">
        <f t="shared" si="3"/>
        <v>5728.5157464912763</v>
      </c>
      <c r="E45" s="4">
        <v>0</v>
      </c>
      <c r="F45" s="1">
        <f t="shared" si="4"/>
        <v>333.33333333333337</v>
      </c>
      <c r="G45" s="1">
        <f t="shared" si="0"/>
        <v>5728.5157464912763</v>
      </c>
      <c r="H45" s="1">
        <f t="shared" si="1"/>
        <v>56787.106337718244</v>
      </c>
    </row>
    <row r="46" spans="2:8" ht="18" x14ac:dyDescent="0.35">
      <c r="B46" s="2">
        <v>26</v>
      </c>
      <c r="C46" s="5">
        <f t="shared" si="2"/>
        <v>44682</v>
      </c>
      <c r="D46" s="1">
        <f t="shared" si="3"/>
        <v>5728.5157464912763</v>
      </c>
      <c r="E46" s="4">
        <v>0</v>
      </c>
      <c r="F46" s="1">
        <f t="shared" si="4"/>
        <v>333.33333333333337</v>
      </c>
      <c r="G46" s="1">
        <f t="shared" si="0"/>
        <v>5728.5157464912763</v>
      </c>
      <c r="H46" s="1">
        <f t="shared" si="1"/>
        <v>51058.590591226966</v>
      </c>
    </row>
    <row r="47" spans="2:8" ht="18" x14ac:dyDescent="0.35">
      <c r="B47" s="2">
        <v>27</v>
      </c>
      <c r="C47" s="5">
        <f t="shared" si="2"/>
        <v>44713</v>
      </c>
      <c r="D47" s="1">
        <f t="shared" si="3"/>
        <v>5728.5157464912763</v>
      </c>
      <c r="E47" s="4">
        <v>0</v>
      </c>
      <c r="F47" s="1">
        <f t="shared" si="4"/>
        <v>333.33333333333337</v>
      </c>
      <c r="G47" s="1">
        <f t="shared" si="0"/>
        <v>5728.5157464912763</v>
      </c>
      <c r="H47" s="1">
        <f t="shared" si="1"/>
        <v>45330.074844735689</v>
      </c>
    </row>
    <row r="48" spans="2:8" ht="18" x14ac:dyDescent="0.35">
      <c r="B48" s="2">
        <v>28</v>
      </c>
      <c r="C48" s="5">
        <f t="shared" si="2"/>
        <v>44743</v>
      </c>
      <c r="D48" s="1">
        <f t="shared" si="3"/>
        <v>5728.5157464912763</v>
      </c>
      <c r="E48" s="4">
        <v>0</v>
      </c>
      <c r="F48" s="1">
        <f t="shared" si="4"/>
        <v>333.33333333333337</v>
      </c>
      <c r="G48" s="1">
        <f t="shared" si="0"/>
        <v>5728.5157464912763</v>
      </c>
      <c r="H48" s="1">
        <f t="shared" si="1"/>
        <v>39601.559098244412</v>
      </c>
    </row>
    <row r="49" spans="2:8" ht="18" x14ac:dyDescent="0.35">
      <c r="B49" s="2">
        <v>29</v>
      </c>
      <c r="C49" s="5">
        <f t="shared" si="2"/>
        <v>44774</v>
      </c>
      <c r="D49" s="1">
        <f t="shared" si="3"/>
        <v>5728.5157464912763</v>
      </c>
      <c r="E49" s="4">
        <v>0</v>
      </c>
      <c r="F49" s="1">
        <f t="shared" si="4"/>
        <v>333.33333333333337</v>
      </c>
      <c r="G49" s="1">
        <f t="shared" si="0"/>
        <v>5728.5157464912763</v>
      </c>
      <c r="H49" s="1">
        <f t="shared" si="1"/>
        <v>33873.043351753135</v>
      </c>
    </row>
    <row r="50" spans="2:8" ht="18" x14ac:dyDescent="0.35">
      <c r="B50" s="2">
        <v>30</v>
      </c>
      <c r="C50" s="5">
        <f t="shared" si="2"/>
        <v>44805</v>
      </c>
      <c r="D50" s="1">
        <f t="shared" si="3"/>
        <v>5728.5157464912763</v>
      </c>
      <c r="E50" s="4">
        <v>0</v>
      </c>
      <c r="F50" s="1">
        <f t="shared" si="4"/>
        <v>333.33333333333337</v>
      </c>
      <c r="G50" s="1">
        <f t="shared" si="0"/>
        <v>5728.5157464912763</v>
      </c>
      <c r="H50" s="1">
        <f t="shared" si="1"/>
        <v>28144.527605261857</v>
      </c>
    </row>
    <row r="51" spans="2:8" ht="18" x14ac:dyDescent="0.35">
      <c r="B51" s="2">
        <v>31</v>
      </c>
      <c r="C51" s="5">
        <f t="shared" si="2"/>
        <v>44835</v>
      </c>
      <c r="D51" s="1">
        <f t="shared" si="3"/>
        <v>5728.5157464912763</v>
      </c>
      <c r="E51" s="4">
        <v>0</v>
      </c>
      <c r="F51" s="1">
        <f t="shared" si="4"/>
        <v>333.33333333333337</v>
      </c>
      <c r="G51" s="1">
        <f t="shared" si="0"/>
        <v>5728.5157464912763</v>
      </c>
      <c r="H51" s="1">
        <f t="shared" si="1"/>
        <v>22416.01185877058</v>
      </c>
    </row>
    <row r="52" spans="2:8" ht="18" x14ac:dyDescent="0.35">
      <c r="B52" s="2">
        <v>32</v>
      </c>
      <c r="C52" s="5">
        <f t="shared" si="2"/>
        <v>44866</v>
      </c>
      <c r="D52" s="1">
        <f t="shared" si="3"/>
        <v>5728.5157464912763</v>
      </c>
      <c r="E52" s="4">
        <v>0</v>
      </c>
      <c r="F52" s="1">
        <f t="shared" si="4"/>
        <v>333.33333333333337</v>
      </c>
      <c r="G52" s="1">
        <f t="shared" si="0"/>
        <v>5728.5157464912763</v>
      </c>
      <c r="H52" s="1">
        <f t="shared" si="1"/>
        <v>16687.496112279303</v>
      </c>
    </row>
    <row r="53" spans="2:8" ht="18" x14ac:dyDescent="0.35">
      <c r="B53" s="2">
        <v>33</v>
      </c>
      <c r="C53" s="5">
        <f t="shared" si="2"/>
        <v>44896</v>
      </c>
      <c r="D53" s="1">
        <f t="shared" si="3"/>
        <v>5728.5157464912763</v>
      </c>
      <c r="E53" s="4">
        <v>0</v>
      </c>
      <c r="F53" s="1">
        <f t="shared" si="4"/>
        <v>333.33333333333337</v>
      </c>
      <c r="G53" s="1">
        <f t="shared" si="0"/>
        <v>5728.5157464912763</v>
      </c>
      <c r="H53" s="1">
        <f t="shared" si="1"/>
        <v>10958.980365788026</v>
      </c>
    </row>
    <row r="54" spans="2:8" ht="18" x14ac:dyDescent="0.35">
      <c r="B54" s="2">
        <v>34</v>
      </c>
      <c r="C54" s="5">
        <f t="shared" si="2"/>
        <v>44927</v>
      </c>
      <c r="D54" s="1">
        <f t="shared" si="3"/>
        <v>5728.5157464912763</v>
      </c>
      <c r="E54" s="4">
        <v>0</v>
      </c>
      <c r="F54" s="1">
        <f t="shared" si="4"/>
        <v>333.33333333333337</v>
      </c>
      <c r="G54" s="1">
        <f t="shared" si="0"/>
        <v>5728.5157464912763</v>
      </c>
      <c r="H54" s="1">
        <f t="shared" si="1"/>
        <v>5230.4646192967493</v>
      </c>
    </row>
    <row r="55" spans="2:8" ht="18" x14ac:dyDescent="0.35">
      <c r="B55" s="2">
        <v>35</v>
      </c>
      <c r="C55" s="5">
        <f t="shared" si="2"/>
        <v>44958</v>
      </c>
      <c r="D55" s="1">
        <f t="shared" si="3"/>
        <v>5230.4646192967493</v>
      </c>
      <c r="E55" s="4">
        <v>0</v>
      </c>
      <c r="F55" s="1">
        <f t="shared" si="4"/>
        <v>333.33333333333337</v>
      </c>
      <c r="G55" s="1">
        <f t="shared" si="0"/>
        <v>5230.4646192967493</v>
      </c>
      <c r="H55" s="1">
        <f t="shared" si="1"/>
        <v>0</v>
      </c>
    </row>
    <row r="56" spans="2:8" ht="18" x14ac:dyDescent="0.35">
      <c r="B56" s="2">
        <v>36</v>
      </c>
      <c r="C56" s="5" t="str">
        <f t="shared" si="2"/>
        <v/>
      </c>
      <c r="D56" s="1">
        <f t="shared" si="3"/>
        <v>0</v>
      </c>
      <c r="E56" s="4">
        <v>0</v>
      </c>
      <c r="F56" s="1" t="str">
        <f t="shared" si="4"/>
        <v/>
      </c>
      <c r="G56" s="1">
        <f t="shared" si="0"/>
        <v>0</v>
      </c>
      <c r="H56" s="1">
        <f t="shared" si="1"/>
        <v>0</v>
      </c>
    </row>
    <row r="57" spans="2:8" ht="18" x14ac:dyDescent="0.35">
      <c r="B57" s="2"/>
      <c r="C57" s="5" t="str">
        <f t="shared" si="2"/>
        <v/>
      </c>
      <c r="D57" s="1">
        <f t="shared" si="3"/>
        <v>0</v>
      </c>
      <c r="E57" s="4">
        <v>0</v>
      </c>
      <c r="F57" s="1" t="str">
        <f t="shared" si="4"/>
        <v/>
      </c>
      <c r="G57" s="1" t="str">
        <f t="shared" si="0"/>
        <v/>
      </c>
      <c r="H57" s="1" t="str">
        <f t="shared" si="1"/>
        <v/>
      </c>
    </row>
    <row r="58" spans="2:8" ht="18" x14ac:dyDescent="0.35">
      <c r="B58" s="2"/>
      <c r="C58" s="5" t="str">
        <f t="shared" si="2"/>
        <v/>
      </c>
      <c r="D58" s="1" t="str">
        <f t="shared" si="3"/>
        <v/>
      </c>
      <c r="E58" s="4">
        <v>0</v>
      </c>
      <c r="F58" s="1" t="str">
        <f t="shared" si="4"/>
        <v/>
      </c>
      <c r="G58" s="1" t="str">
        <f t="shared" si="0"/>
        <v/>
      </c>
      <c r="H58" s="1" t="str">
        <f t="shared" si="1"/>
        <v/>
      </c>
    </row>
    <row r="59" spans="2:8" ht="18" x14ac:dyDescent="0.35">
      <c r="B59" s="2"/>
      <c r="C59" s="5" t="str">
        <f t="shared" si="2"/>
        <v/>
      </c>
      <c r="D59" s="1" t="str">
        <f t="shared" si="3"/>
        <v/>
      </c>
      <c r="E59" s="4">
        <v>0</v>
      </c>
      <c r="F59" s="1" t="str">
        <f t="shared" si="4"/>
        <v/>
      </c>
      <c r="G59" s="1" t="str">
        <f t="shared" si="0"/>
        <v/>
      </c>
      <c r="H59" s="1" t="str">
        <f t="shared" si="1"/>
        <v/>
      </c>
    </row>
    <row r="60" spans="2:8" ht="18" x14ac:dyDescent="0.35">
      <c r="B60" s="2"/>
      <c r="C60" s="5" t="str">
        <f t="shared" si="2"/>
        <v/>
      </c>
      <c r="D60" s="1" t="str">
        <f t="shared" si="3"/>
        <v/>
      </c>
      <c r="E60" s="4">
        <v>0</v>
      </c>
      <c r="F60" s="1" t="str">
        <f t="shared" si="4"/>
        <v/>
      </c>
      <c r="G60" s="1" t="str">
        <f t="shared" si="0"/>
        <v/>
      </c>
      <c r="H60" s="1" t="str">
        <f t="shared" si="1"/>
        <v/>
      </c>
    </row>
    <row r="61" spans="2:8" ht="18" x14ac:dyDescent="0.35">
      <c r="B61" s="2"/>
      <c r="C61" s="5" t="str">
        <f t="shared" si="2"/>
        <v/>
      </c>
      <c r="D61" s="1" t="str">
        <f t="shared" si="3"/>
        <v/>
      </c>
      <c r="E61" s="4">
        <v>0</v>
      </c>
      <c r="F61" s="1" t="str">
        <f t="shared" si="4"/>
        <v/>
      </c>
      <c r="G61" s="1" t="str">
        <f t="shared" si="0"/>
        <v/>
      </c>
      <c r="H61" s="1" t="str">
        <f t="shared" si="1"/>
        <v/>
      </c>
    </row>
    <row r="62" spans="2:8" ht="18" x14ac:dyDescent="0.35">
      <c r="B62" s="2"/>
      <c r="C62" s="5" t="str">
        <f t="shared" si="2"/>
        <v/>
      </c>
      <c r="D62" s="1" t="str">
        <f t="shared" si="3"/>
        <v/>
      </c>
      <c r="E62" s="4">
        <v>0</v>
      </c>
      <c r="F62" s="1" t="str">
        <f t="shared" si="4"/>
        <v/>
      </c>
      <c r="G62" s="1" t="str">
        <f t="shared" si="0"/>
        <v/>
      </c>
      <c r="H62" s="1" t="str">
        <f t="shared" si="1"/>
        <v/>
      </c>
    </row>
    <row r="63" spans="2:8" ht="18" x14ac:dyDescent="0.35">
      <c r="B63" s="2"/>
      <c r="C63" s="5" t="str">
        <f t="shared" si="2"/>
        <v/>
      </c>
      <c r="D63" s="1" t="str">
        <f t="shared" si="3"/>
        <v/>
      </c>
      <c r="E63" s="4">
        <v>0</v>
      </c>
      <c r="F63" s="1" t="str">
        <f t="shared" si="4"/>
        <v/>
      </c>
      <c r="G63" s="1" t="str">
        <f t="shared" si="0"/>
        <v/>
      </c>
      <c r="H63" s="1" t="str">
        <f t="shared" si="1"/>
        <v/>
      </c>
    </row>
    <row r="64" spans="2:8" ht="18" x14ac:dyDescent="0.35">
      <c r="B64" s="2"/>
      <c r="C64" s="5" t="str">
        <f t="shared" si="2"/>
        <v/>
      </c>
      <c r="D64" s="1" t="str">
        <f t="shared" si="3"/>
        <v/>
      </c>
      <c r="E64" s="4">
        <v>0</v>
      </c>
      <c r="F64" s="1" t="str">
        <f t="shared" si="4"/>
        <v/>
      </c>
      <c r="G64" s="1" t="str">
        <f t="shared" si="0"/>
        <v/>
      </c>
      <c r="H64" s="1" t="str">
        <f t="shared" si="1"/>
        <v/>
      </c>
    </row>
    <row r="65" spans="2:8" ht="18" x14ac:dyDescent="0.35">
      <c r="B65" s="2"/>
      <c r="C65" s="5" t="str">
        <f t="shared" si="2"/>
        <v/>
      </c>
      <c r="D65" s="1" t="str">
        <f t="shared" si="3"/>
        <v/>
      </c>
      <c r="E65" s="4">
        <v>0</v>
      </c>
      <c r="F65" s="1" t="str">
        <f t="shared" si="4"/>
        <v/>
      </c>
      <c r="G65" s="1" t="str">
        <f t="shared" si="0"/>
        <v/>
      </c>
      <c r="H65" s="1" t="str">
        <f t="shared" si="1"/>
        <v/>
      </c>
    </row>
    <row r="66" spans="2:8" ht="18" x14ac:dyDescent="0.35">
      <c r="B66" s="2"/>
      <c r="C66" s="5" t="str">
        <f t="shared" si="2"/>
        <v/>
      </c>
      <c r="D66" s="1" t="str">
        <f t="shared" si="3"/>
        <v/>
      </c>
      <c r="E66" s="4">
        <v>0</v>
      </c>
      <c r="F66" s="1" t="str">
        <f t="shared" si="4"/>
        <v/>
      </c>
      <c r="G66" s="1" t="str">
        <f t="shared" si="0"/>
        <v/>
      </c>
      <c r="H66" s="1" t="str">
        <f t="shared" si="1"/>
        <v/>
      </c>
    </row>
    <row r="67" spans="2:8" ht="18" x14ac:dyDescent="0.35">
      <c r="B67" s="2"/>
      <c r="C67" s="5" t="str">
        <f t="shared" si="2"/>
        <v/>
      </c>
      <c r="D67" s="1" t="str">
        <f t="shared" si="3"/>
        <v/>
      </c>
      <c r="E67" s="4">
        <v>0</v>
      </c>
      <c r="F67" s="1" t="str">
        <f t="shared" si="4"/>
        <v/>
      </c>
      <c r="G67" s="1" t="str">
        <f t="shared" si="0"/>
        <v/>
      </c>
      <c r="H67" s="1" t="str">
        <f t="shared" si="1"/>
        <v/>
      </c>
    </row>
    <row r="68" spans="2:8" ht="18" x14ac:dyDescent="0.35">
      <c r="B68" s="2"/>
      <c r="C68" s="5" t="str">
        <f t="shared" si="2"/>
        <v/>
      </c>
      <c r="D68" s="1" t="str">
        <f t="shared" si="3"/>
        <v/>
      </c>
      <c r="E68" s="4">
        <v>0</v>
      </c>
      <c r="F68" s="1" t="str">
        <f t="shared" si="4"/>
        <v/>
      </c>
      <c r="G68" s="1" t="str">
        <f t="shared" si="0"/>
        <v/>
      </c>
      <c r="H68" s="1" t="str">
        <f t="shared" si="1"/>
        <v/>
      </c>
    </row>
    <row r="69" spans="2:8" ht="18" x14ac:dyDescent="0.35">
      <c r="B69" s="2"/>
      <c r="C69" s="5" t="str">
        <f t="shared" si="2"/>
        <v/>
      </c>
      <c r="D69" s="1" t="str">
        <f t="shared" si="3"/>
        <v/>
      </c>
      <c r="E69" s="4">
        <v>0</v>
      </c>
      <c r="F69" s="1" t="str">
        <f t="shared" si="4"/>
        <v/>
      </c>
      <c r="G69" s="1" t="str">
        <f t="shared" si="0"/>
        <v/>
      </c>
      <c r="H69" s="1" t="str">
        <f t="shared" si="1"/>
        <v/>
      </c>
    </row>
    <row r="70" spans="2:8" ht="18" x14ac:dyDescent="0.35">
      <c r="B70" s="2"/>
      <c r="C70" s="5" t="str">
        <f t="shared" si="2"/>
        <v/>
      </c>
      <c r="D70" s="1" t="str">
        <f t="shared" si="3"/>
        <v/>
      </c>
      <c r="E70" s="4">
        <v>0</v>
      </c>
      <c r="F70" s="1" t="str">
        <f t="shared" si="4"/>
        <v/>
      </c>
      <c r="G70" s="1" t="str">
        <f t="shared" si="0"/>
        <v/>
      </c>
      <c r="H70" s="1" t="str">
        <f t="shared" si="1"/>
        <v/>
      </c>
    </row>
    <row r="71" spans="2:8" ht="18" x14ac:dyDescent="0.35">
      <c r="B71" s="2"/>
      <c r="C71" s="5" t="str">
        <f t="shared" si="2"/>
        <v/>
      </c>
      <c r="D71" s="1" t="str">
        <f t="shared" si="3"/>
        <v/>
      </c>
      <c r="E71" s="4">
        <v>0</v>
      </c>
      <c r="F71" s="1" t="str">
        <f t="shared" si="4"/>
        <v/>
      </c>
      <c r="G71" s="1" t="str">
        <f t="shared" si="0"/>
        <v/>
      </c>
      <c r="H71" s="1" t="str">
        <f t="shared" si="1"/>
        <v/>
      </c>
    </row>
    <row r="72" spans="2:8" ht="18" x14ac:dyDescent="0.35">
      <c r="B72" s="2"/>
      <c r="C72" s="5" t="str">
        <f t="shared" si="2"/>
        <v/>
      </c>
      <c r="D72" s="1" t="str">
        <f t="shared" si="3"/>
        <v/>
      </c>
      <c r="E72" s="4">
        <v>0</v>
      </c>
      <c r="F72" s="1" t="str">
        <f t="shared" si="4"/>
        <v/>
      </c>
      <c r="G72" s="1" t="str">
        <f t="shared" si="0"/>
        <v/>
      </c>
      <c r="H72" s="1" t="str">
        <f t="shared" si="1"/>
        <v/>
      </c>
    </row>
    <row r="73" spans="2:8" ht="18" x14ac:dyDescent="0.35">
      <c r="B73" s="2"/>
      <c r="C73" s="5" t="str">
        <f t="shared" si="2"/>
        <v/>
      </c>
      <c r="D73" s="1" t="str">
        <f t="shared" si="3"/>
        <v/>
      </c>
      <c r="E73" s="4">
        <v>0</v>
      </c>
      <c r="F73" s="1" t="str">
        <f t="shared" si="4"/>
        <v/>
      </c>
      <c r="G73" s="1" t="str">
        <f t="shared" si="0"/>
        <v/>
      </c>
      <c r="H73" s="1" t="str">
        <f t="shared" si="1"/>
        <v/>
      </c>
    </row>
    <row r="74" spans="2:8" ht="18" x14ac:dyDescent="0.35">
      <c r="B74" s="2"/>
      <c r="C74" s="5" t="str">
        <f t="shared" si="2"/>
        <v/>
      </c>
      <c r="D74" s="1" t="str">
        <f t="shared" si="3"/>
        <v/>
      </c>
      <c r="E74" s="4">
        <v>0</v>
      </c>
      <c r="F74" s="1" t="str">
        <f t="shared" si="4"/>
        <v/>
      </c>
      <c r="G74" s="1" t="str">
        <f t="shared" si="0"/>
        <v/>
      </c>
      <c r="H74" s="1" t="str">
        <f t="shared" si="1"/>
        <v/>
      </c>
    </row>
    <row r="75" spans="2:8" ht="18" x14ac:dyDescent="0.35">
      <c r="B75" s="2"/>
      <c r="C75" s="5" t="str">
        <f t="shared" si="2"/>
        <v/>
      </c>
      <c r="D75" s="1" t="str">
        <f t="shared" si="3"/>
        <v/>
      </c>
      <c r="E75" s="4">
        <v>0</v>
      </c>
      <c r="F75" s="1" t="str">
        <f t="shared" si="4"/>
        <v/>
      </c>
      <c r="G75" s="1" t="str">
        <f t="shared" si="0"/>
        <v/>
      </c>
      <c r="H75" s="1" t="str">
        <f t="shared" si="1"/>
        <v/>
      </c>
    </row>
    <row r="76" spans="2:8" ht="18" x14ac:dyDescent="0.35">
      <c r="B76" s="2"/>
      <c r="C76" s="5" t="str">
        <f t="shared" si="2"/>
        <v/>
      </c>
      <c r="D76" s="1" t="str">
        <f t="shared" si="3"/>
        <v/>
      </c>
      <c r="E76" s="4">
        <v>0</v>
      </c>
      <c r="F76" s="1" t="str">
        <f t="shared" si="4"/>
        <v/>
      </c>
      <c r="G76" s="1" t="str">
        <f t="shared" si="0"/>
        <v/>
      </c>
      <c r="H76" s="1" t="str">
        <f t="shared" si="1"/>
        <v/>
      </c>
    </row>
    <row r="77" spans="2:8" ht="18" x14ac:dyDescent="0.35">
      <c r="B77" s="2"/>
      <c r="C77" s="5" t="str">
        <f t="shared" si="2"/>
        <v/>
      </c>
      <c r="D77" s="1" t="str">
        <f t="shared" si="3"/>
        <v/>
      </c>
      <c r="E77" s="4">
        <v>0</v>
      </c>
      <c r="F77" s="1" t="str">
        <f t="shared" si="4"/>
        <v/>
      </c>
      <c r="G77" s="1" t="str">
        <f t="shared" si="0"/>
        <v/>
      </c>
      <c r="H77" s="1" t="str">
        <f t="shared" si="1"/>
        <v/>
      </c>
    </row>
    <row r="78" spans="2:8" ht="18" x14ac:dyDescent="0.35">
      <c r="B78" s="2"/>
      <c r="C78" s="5" t="str">
        <f t="shared" si="2"/>
        <v/>
      </c>
      <c r="D78" s="1" t="str">
        <f t="shared" si="3"/>
        <v/>
      </c>
      <c r="E78" s="4">
        <v>0</v>
      </c>
      <c r="F78" s="1" t="str">
        <f t="shared" si="4"/>
        <v/>
      </c>
      <c r="G78" s="1" t="str">
        <f t="shared" si="0"/>
        <v/>
      </c>
      <c r="H78" s="1" t="str">
        <f t="shared" si="1"/>
        <v/>
      </c>
    </row>
    <row r="79" spans="2:8" ht="18" x14ac:dyDescent="0.35">
      <c r="B79" s="2"/>
      <c r="C79" s="5" t="str">
        <f t="shared" si="2"/>
        <v/>
      </c>
      <c r="D79" s="1" t="str">
        <f t="shared" si="3"/>
        <v/>
      </c>
      <c r="E79" s="4">
        <v>0</v>
      </c>
      <c r="F79" s="1" t="str">
        <f t="shared" si="4"/>
        <v/>
      </c>
      <c r="G79" s="1" t="str">
        <f t="shared" si="0"/>
        <v/>
      </c>
      <c r="H79" s="1" t="str">
        <f t="shared" si="1"/>
        <v/>
      </c>
    </row>
    <row r="80" spans="2:8" ht="18" x14ac:dyDescent="0.35">
      <c r="B80" s="2"/>
      <c r="C80" s="5" t="str">
        <f t="shared" si="2"/>
        <v/>
      </c>
      <c r="D80" s="1" t="str">
        <f t="shared" si="3"/>
        <v/>
      </c>
      <c r="E80" s="4">
        <v>0</v>
      </c>
      <c r="F80" s="1" t="str">
        <f t="shared" si="4"/>
        <v/>
      </c>
      <c r="G80" s="1" t="str">
        <f t="shared" si="0"/>
        <v/>
      </c>
      <c r="H80" s="1" t="str">
        <f t="shared" si="1"/>
        <v/>
      </c>
    </row>
    <row r="81" spans="2:8" ht="18" x14ac:dyDescent="0.35">
      <c r="B81" s="2"/>
      <c r="C81" s="5" t="str">
        <f t="shared" si="2"/>
        <v/>
      </c>
      <c r="D81" s="1" t="str">
        <f t="shared" si="3"/>
        <v/>
      </c>
      <c r="E81" s="4">
        <v>0</v>
      </c>
      <c r="F81" s="1" t="str">
        <f t="shared" si="4"/>
        <v/>
      </c>
      <c r="G81" s="1" t="str">
        <f t="shared" si="0"/>
        <v/>
      </c>
      <c r="H81" s="1" t="str">
        <f t="shared" si="1"/>
        <v/>
      </c>
    </row>
    <row r="82" spans="2:8" ht="18" x14ac:dyDescent="0.35">
      <c r="B82" s="2"/>
      <c r="C82" s="5" t="str">
        <f t="shared" si="2"/>
        <v/>
      </c>
      <c r="D82" s="1" t="str">
        <f t="shared" si="3"/>
        <v/>
      </c>
      <c r="E82" s="4">
        <v>0</v>
      </c>
      <c r="F82" s="1" t="str">
        <f t="shared" si="4"/>
        <v/>
      </c>
      <c r="G82" s="1" t="str">
        <f t="shared" si="0"/>
        <v/>
      </c>
      <c r="H82" s="1" t="str">
        <f t="shared" si="1"/>
        <v/>
      </c>
    </row>
    <row r="83" spans="2:8" ht="18" x14ac:dyDescent="0.35">
      <c r="B83" s="2"/>
      <c r="C83" s="5" t="str">
        <f t="shared" si="2"/>
        <v/>
      </c>
      <c r="D83" s="1" t="str">
        <f t="shared" si="3"/>
        <v/>
      </c>
      <c r="E83" s="4">
        <v>0</v>
      </c>
      <c r="F83" s="1" t="str">
        <f t="shared" si="4"/>
        <v/>
      </c>
      <c r="G83" s="1" t="str">
        <f t="shared" si="0"/>
        <v/>
      </c>
      <c r="H83" s="1" t="str">
        <f t="shared" si="1"/>
        <v/>
      </c>
    </row>
    <row r="84" spans="2:8" ht="18" x14ac:dyDescent="0.35">
      <c r="B84" s="2"/>
      <c r="C84" s="5" t="str">
        <f t="shared" si="2"/>
        <v/>
      </c>
      <c r="D84" s="1" t="str">
        <f t="shared" si="3"/>
        <v/>
      </c>
      <c r="E84" s="4">
        <v>0</v>
      </c>
      <c r="F84" s="1" t="str">
        <f t="shared" si="4"/>
        <v/>
      </c>
      <c r="G84" s="1" t="str">
        <f t="shared" si="0"/>
        <v/>
      </c>
      <c r="H84" s="1" t="str">
        <f t="shared" si="1"/>
        <v/>
      </c>
    </row>
    <row r="85" spans="2:8" ht="18" x14ac:dyDescent="0.35">
      <c r="B85" s="2"/>
      <c r="C85" s="5" t="str">
        <f t="shared" si="2"/>
        <v/>
      </c>
      <c r="D85" s="1" t="str">
        <f t="shared" si="3"/>
        <v/>
      </c>
      <c r="E85" s="4">
        <v>0</v>
      </c>
      <c r="F85" s="1" t="str">
        <f t="shared" si="4"/>
        <v/>
      </c>
      <c r="G85" s="1" t="str">
        <f t="shared" si="0"/>
        <v/>
      </c>
      <c r="H85" s="1" t="str">
        <f t="shared" si="1"/>
        <v/>
      </c>
    </row>
    <row r="86" spans="2:8" ht="18" x14ac:dyDescent="0.35">
      <c r="B86" s="2"/>
      <c r="C86" s="5" t="str">
        <f t="shared" si="2"/>
        <v/>
      </c>
      <c r="D86" s="1" t="str">
        <f t="shared" si="3"/>
        <v/>
      </c>
      <c r="E86" s="4">
        <v>0</v>
      </c>
      <c r="F86" s="1" t="str">
        <f t="shared" si="4"/>
        <v/>
      </c>
      <c r="G86" s="1" t="str">
        <f t="shared" ref="G86:G149" si="5">IF(B86="","",D86+E86)</f>
        <v/>
      </c>
      <c r="H86" s="1" t="str">
        <f t="shared" ref="H86:H149" si="6">IF(B86="","",H85-G86-E86)</f>
        <v/>
      </c>
    </row>
    <row r="87" spans="2:8" ht="18" x14ac:dyDescent="0.35">
      <c r="B87" s="2"/>
      <c r="C87" s="5" t="str">
        <f t="shared" ref="C87:C150" si="7">IF(H86=0,"",IF(B87="","",EOMONTH(C86,0)+1))</f>
        <v/>
      </c>
      <c r="D87" s="1" t="str">
        <f t="shared" ref="D87:D150" si="8">IF(H86&lt;$D$15,H86,IF(B87="","",MIN(H86+F87,$D$15)))</f>
        <v/>
      </c>
      <c r="E87" s="4">
        <v>0</v>
      </c>
      <c r="F87" s="1" t="str">
        <f t="shared" ref="F87:F150" si="9">IF(H86=0,"",IF(B87="","",$H$20*$H$8))</f>
        <v/>
      </c>
      <c r="G87" s="1" t="str">
        <f t="shared" si="5"/>
        <v/>
      </c>
      <c r="H87" s="1" t="str">
        <f t="shared" si="6"/>
        <v/>
      </c>
    </row>
    <row r="88" spans="2:8" ht="18" x14ac:dyDescent="0.35">
      <c r="B88" s="2"/>
      <c r="C88" s="5" t="str">
        <f t="shared" si="7"/>
        <v/>
      </c>
      <c r="D88" s="1" t="str">
        <f t="shared" si="8"/>
        <v/>
      </c>
      <c r="E88" s="4">
        <v>0</v>
      </c>
      <c r="F88" s="1" t="str">
        <f t="shared" si="9"/>
        <v/>
      </c>
      <c r="G88" s="1" t="str">
        <f t="shared" si="5"/>
        <v/>
      </c>
      <c r="H88" s="1" t="str">
        <f t="shared" si="6"/>
        <v/>
      </c>
    </row>
    <row r="89" spans="2:8" ht="18" x14ac:dyDescent="0.35">
      <c r="B89" s="2"/>
      <c r="C89" s="5" t="str">
        <f t="shared" si="7"/>
        <v/>
      </c>
      <c r="D89" s="1" t="str">
        <f t="shared" si="8"/>
        <v/>
      </c>
      <c r="E89" s="4">
        <v>0</v>
      </c>
      <c r="F89" s="1" t="str">
        <f t="shared" si="9"/>
        <v/>
      </c>
      <c r="G89" s="1" t="str">
        <f t="shared" si="5"/>
        <v/>
      </c>
      <c r="H89" s="1" t="str">
        <f t="shared" si="6"/>
        <v/>
      </c>
    </row>
    <row r="90" spans="2:8" ht="18" x14ac:dyDescent="0.35">
      <c r="B90" s="2"/>
      <c r="C90" s="5" t="str">
        <f t="shared" si="7"/>
        <v/>
      </c>
      <c r="D90" s="1" t="str">
        <f t="shared" si="8"/>
        <v/>
      </c>
      <c r="E90" s="4">
        <v>0</v>
      </c>
      <c r="F90" s="1" t="str">
        <f t="shared" si="9"/>
        <v/>
      </c>
      <c r="G90" s="1" t="str">
        <f t="shared" si="5"/>
        <v/>
      </c>
      <c r="H90" s="1" t="str">
        <f t="shared" si="6"/>
        <v/>
      </c>
    </row>
    <row r="91" spans="2:8" ht="18" x14ac:dyDescent="0.35">
      <c r="B91" s="2"/>
      <c r="C91" s="5" t="str">
        <f t="shared" si="7"/>
        <v/>
      </c>
      <c r="D91" s="1" t="str">
        <f t="shared" si="8"/>
        <v/>
      </c>
      <c r="E91" s="4">
        <v>0</v>
      </c>
      <c r="F91" s="1" t="str">
        <f t="shared" si="9"/>
        <v/>
      </c>
      <c r="G91" s="1" t="str">
        <f t="shared" si="5"/>
        <v/>
      </c>
      <c r="H91" s="1" t="str">
        <f t="shared" si="6"/>
        <v/>
      </c>
    </row>
    <row r="92" spans="2:8" ht="18" x14ac:dyDescent="0.35">
      <c r="B92" s="2"/>
      <c r="C92" s="5" t="str">
        <f t="shared" si="7"/>
        <v/>
      </c>
      <c r="D92" s="1" t="str">
        <f t="shared" si="8"/>
        <v/>
      </c>
      <c r="E92" s="4">
        <v>0</v>
      </c>
      <c r="F92" s="1" t="str">
        <f t="shared" si="9"/>
        <v/>
      </c>
      <c r="G92" s="1" t="str">
        <f t="shared" si="5"/>
        <v/>
      </c>
      <c r="H92" s="1" t="str">
        <f t="shared" si="6"/>
        <v/>
      </c>
    </row>
    <row r="93" spans="2:8" ht="18" x14ac:dyDescent="0.35">
      <c r="B93" s="2"/>
      <c r="C93" s="5" t="str">
        <f t="shared" si="7"/>
        <v/>
      </c>
      <c r="D93" s="1" t="str">
        <f t="shared" si="8"/>
        <v/>
      </c>
      <c r="E93" s="4">
        <v>0</v>
      </c>
      <c r="F93" s="1" t="str">
        <f t="shared" si="9"/>
        <v/>
      </c>
      <c r="G93" s="1" t="str">
        <f t="shared" si="5"/>
        <v/>
      </c>
      <c r="H93" s="1" t="str">
        <f t="shared" si="6"/>
        <v/>
      </c>
    </row>
    <row r="94" spans="2:8" ht="18" x14ac:dyDescent="0.35">
      <c r="B94" s="2"/>
      <c r="C94" s="5" t="str">
        <f t="shared" si="7"/>
        <v/>
      </c>
      <c r="D94" s="1" t="str">
        <f t="shared" si="8"/>
        <v/>
      </c>
      <c r="E94" s="4">
        <v>0</v>
      </c>
      <c r="F94" s="1" t="str">
        <f t="shared" si="9"/>
        <v/>
      </c>
      <c r="G94" s="1" t="str">
        <f t="shared" si="5"/>
        <v/>
      </c>
      <c r="H94" s="1" t="str">
        <f t="shared" si="6"/>
        <v/>
      </c>
    </row>
    <row r="95" spans="2:8" ht="18" x14ac:dyDescent="0.35">
      <c r="B95" s="2"/>
      <c r="C95" s="5" t="str">
        <f t="shared" si="7"/>
        <v/>
      </c>
      <c r="D95" s="1" t="str">
        <f t="shared" si="8"/>
        <v/>
      </c>
      <c r="E95" s="4">
        <v>0</v>
      </c>
      <c r="F95" s="1" t="str">
        <f t="shared" si="9"/>
        <v/>
      </c>
      <c r="G95" s="1" t="str">
        <f t="shared" si="5"/>
        <v/>
      </c>
      <c r="H95" s="1" t="str">
        <f t="shared" si="6"/>
        <v/>
      </c>
    </row>
    <row r="96" spans="2:8" ht="18" x14ac:dyDescent="0.35">
      <c r="B96" s="2"/>
      <c r="C96" s="5" t="str">
        <f t="shared" si="7"/>
        <v/>
      </c>
      <c r="D96" s="1" t="str">
        <f t="shared" si="8"/>
        <v/>
      </c>
      <c r="E96" s="4">
        <v>0</v>
      </c>
      <c r="F96" s="1" t="str">
        <f t="shared" si="9"/>
        <v/>
      </c>
      <c r="G96" s="1" t="str">
        <f t="shared" si="5"/>
        <v/>
      </c>
      <c r="H96" s="1" t="str">
        <f t="shared" si="6"/>
        <v/>
      </c>
    </row>
    <row r="97" spans="2:8" ht="18" x14ac:dyDescent="0.35">
      <c r="B97" s="2"/>
      <c r="C97" s="5" t="str">
        <f t="shared" si="7"/>
        <v/>
      </c>
      <c r="D97" s="1" t="str">
        <f t="shared" si="8"/>
        <v/>
      </c>
      <c r="E97" s="4">
        <v>0</v>
      </c>
      <c r="F97" s="1" t="str">
        <f t="shared" si="9"/>
        <v/>
      </c>
      <c r="G97" s="1" t="str">
        <f t="shared" si="5"/>
        <v/>
      </c>
      <c r="H97" s="1" t="str">
        <f t="shared" si="6"/>
        <v/>
      </c>
    </row>
    <row r="98" spans="2:8" ht="18" x14ac:dyDescent="0.35">
      <c r="B98" s="2"/>
      <c r="C98" s="5" t="str">
        <f t="shared" si="7"/>
        <v/>
      </c>
      <c r="D98" s="1" t="str">
        <f t="shared" si="8"/>
        <v/>
      </c>
      <c r="E98" s="4">
        <v>0</v>
      </c>
      <c r="F98" s="1" t="str">
        <f t="shared" si="9"/>
        <v/>
      </c>
      <c r="G98" s="1" t="str">
        <f t="shared" si="5"/>
        <v/>
      </c>
      <c r="H98" s="1" t="str">
        <f t="shared" si="6"/>
        <v/>
      </c>
    </row>
    <row r="99" spans="2:8" ht="18" x14ac:dyDescent="0.35">
      <c r="B99" s="2"/>
      <c r="C99" s="5" t="str">
        <f t="shared" si="7"/>
        <v/>
      </c>
      <c r="D99" s="1" t="str">
        <f t="shared" si="8"/>
        <v/>
      </c>
      <c r="E99" s="4">
        <v>0</v>
      </c>
      <c r="F99" s="1" t="str">
        <f t="shared" si="9"/>
        <v/>
      </c>
      <c r="G99" s="1" t="str">
        <f t="shared" si="5"/>
        <v/>
      </c>
      <c r="H99" s="1" t="str">
        <f t="shared" si="6"/>
        <v/>
      </c>
    </row>
    <row r="100" spans="2:8" ht="18" x14ac:dyDescent="0.35">
      <c r="B100" s="2"/>
      <c r="C100" s="5" t="str">
        <f t="shared" si="7"/>
        <v/>
      </c>
      <c r="D100" s="1" t="str">
        <f t="shared" si="8"/>
        <v/>
      </c>
      <c r="E100" s="4">
        <v>0</v>
      </c>
      <c r="F100" s="1" t="str">
        <f t="shared" si="9"/>
        <v/>
      </c>
      <c r="G100" s="1" t="str">
        <f t="shared" si="5"/>
        <v/>
      </c>
      <c r="H100" s="1" t="str">
        <f t="shared" si="6"/>
        <v/>
      </c>
    </row>
    <row r="101" spans="2:8" ht="18" x14ac:dyDescent="0.35">
      <c r="B101" s="2"/>
      <c r="C101" s="5" t="str">
        <f t="shared" si="7"/>
        <v/>
      </c>
      <c r="D101" s="1" t="str">
        <f t="shared" si="8"/>
        <v/>
      </c>
      <c r="E101" s="4">
        <v>0</v>
      </c>
      <c r="F101" s="1" t="str">
        <f t="shared" si="9"/>
        <v/>
      </c>
      <c r="G101" s="1" t="str">
        <f t="shared" si="5"/>
        <v/>
      </c>
      <c r="H101" s="1" t="str">
        <f t="shared" si="6"/>
        <v/>
      </c>
    </row>
    <row r="102" spans="2:8" ht="18" x14ac:dyDescent="0.35">
      <c r="B102" s="2"/>
      <c r="C102" s="5" t="str">
        <f t="shared" si="7"/>
        <v/>
      </c>
      <c r="D102" s="1" t="str">
        <f t="shared" si="8"/>
        <v/>
      </c>
      <c r="E102" s="4">
        <v>0</v>
      </c>
      <c r="F102" s="1" t="str">
        <f t="shared" si="9"/>
        <v/>
      </c>
      <c r="G102" s="1" t="str">
        <f t="shared" si="5"/>
        <v/>
      </c>
      <c r="H102" s="1" t="str">
        <f t="shared" si="6"/>
        <v/>
      </c>
    </row>
    <row r="103" spans="2:8" ht="18" x14ac:dyDescent="0.35">
      <c r="B103" s="2"/>
      <c r="C103" s="5" t="str">
        <f t="shared" si="7"/>
        <v/>
      </c>
      <c r="D103" s="1" t="str">
        <f t="shared" si="8"/>
        <v/>
      </c>
      <c r="E103" s="4">
        <v>0</v>
      </c>
      <c r="F103" s="1" t="str">
        <f t="shared" si="9"/>
        <v/>
      </c>
      <c r="G103" s="1" t="str">
        <f t="shared" si="5"/>
        <v/>
      </c>
      <c r="H103" s="1" t="str">
        <f t="shared" si="6"/>
        <v/>
      </c>
    </row>
    <row r="104" spans="2:8" ht="18" x14ac:dyDescent="0.35">
      <c r="B104" s="2"/>
      <c r="C104" s="5" t="str">
        <f t="shared" si="7"/>
        <v/>
      </c>
      <c r="D104" s="1" t="str">
        <f t="shared" si="8"/>
        <v/>
      </c>
      <c r="E104" s="4">
        <v>0</v>
      </c>
      <c r="F104" s="1" t="str">
        <f t="shared" si="9"/>
        <v/>
      </c>
      <c r="G104" s="1" t="str">
        <f t="shared" si="5"/>
        <v/>
      </c>
      <c r="H104" s="1" t="str">
        <f t="shared" si="6"/>
        <v/>
      </c>
    </row>
    <row r="105" spans="2:8" ht="18" x14ac:dyDescent="0.35">
      <c r="B105" s="2"/>
      <c r="C105" s="5" t="str">
        <f t="shared" si="7"/>
        <v/>
      </c>
      <c r="D105" s="1" t="str">
        <f t="shared" si="8"/>
        <v/>
      </c>
      <c r="E105" s="4">
        <v>0</v>
      </c>
      <c r="F105" s="1" t="str">
        <f t="shared" si="9"/>
        <v/>
      </c>
      <c r="G105" s="1" t="str">
        <f t="shared" si="5"/>
        <v/>
      </c>
      <c r="H105" s="1" t="str">
        <f t="shared" si="6"/>
        <v/>
      </c>
    </row>
    <row r="106" spans="2:8" ht="18" x14ac:dyDescent="0.35">
      <c r="B106" s="2"/>
      <c r="C106" s="5" t="str">
        <f t="shared" si="7"/>
        <v/>
      </c>
      <c r="D106" s="1" t="str">
        <f t="shared" si="8"/>
        <v/>
      </c>
      <c r="E106" s="4">
        <v>0</v>
      </c>
      <c r="F106" s="1" t="str">
        <f t="shared" si="9"/>
        <v/>
      </c>
      <c r="G106" s="1" t="str">
        <f t="shared" si="5"/>
        <v/>
      </c>
      <c r="H106" s="1" t="str">
        <f t="shared" si="6"/>
        <v/>
      </c>
    </row>
    <row r="107" spans="2:8" ht="18" x14ac:dyDescent="0.35">
      <c r="B107" s="2"/>
      <c r="C107" s="5" t="str">
        <f t="shared" si="7"/>
        <v/>
      </c>
      <c r="D107" s="1" t="str">
        <f t="shared" si="8"/>
        <v/>
      </c>
      <c r="E107" s="4">
        <v>0</v>
      </c>
      <c r="F107" s="1" t="str">
        <f t="shared" si="9"/>
        <v/>
      </c>
      <c r="G107" s="1" t="str">
        <f t="shared" si="5"/>
        <v/>
      </c>
      <c r="H107" s="1" t="str">
        <f t="shared" si="6"/>
        <v/>
      </c>
    </row>
    <row r="108" spans="2:8" ht="18" x14ac:dyDescent="0.35">
      <c r="B108" s="2"/>
      <c r="C108" s="5" t="str">
        <f t="shared" si="7"/>
        <v/>
      </c>
      <c r="D108" s="1" t="str">
        <f t="shared" si="8"/>
        <v/>
      </c>
      <c r="E108" s="4">
        <v>0</v>
      </c>
      <c r="F108" s="1" t="str">
        <f t="shared" si="9"/>
        <v/>
      </c>
      <c r="G108" s="1" t="str">
        <f t="shared" si="5"/>
        <v/>
      </c>
      <c r="H108" s="1" t="str">
        <f t="shared" si="6"/>
        <v/>
      </c>
    </row>
    <row r="109" spans="2:8" ht="18" x14ac:dyDescent="0.35">
      <c r="B109" s="2"/>
      <c r="C109" s="5" t="str">
        <f t="shared" si="7"/>
        <v/>
      </c>
      <c r="D109" s="1" t="str">
        <f t="shared" si="8"/>
        <v/>
      </c>
      <c r="E109" s="4">
        <v>0</v>
      </c>
      <c r="F109" s="1" t="str">
        <f t="shared" si="9"/>
        <v/>
      </c>
      <c r="G109" s="1" t="str">
        <f t="shared" si="5"/>
        <v/>
      </c>
      <c r="H109" s="1" t="str">
        <f t="shared" si="6"/>
        <v/>
      </c>
    </row>
    <row r="110" spans="2:8" ht="18" x14ac:dyDescent="0.35">
      <c r="B110" s="2"/>
      <c r="C110" s="5" t="str">
        <f t="shared" si="7"/>
        <v/>
      </c>
      <c r="D110" s="1" t="str">
        <f t="shared" si="8"/>
        <v/>
      </c>
      <c r="E110" s="4">
        <v>0</v>
      </c>
      <c r="F110" s="1" t="str">
        <f t="shared" si="9"/>
        <v/>
      </c>
      <c r="G110" s="1" t="str">
        <f t="shared" si="5"/>
        <v/>
      </c>
      <c r="H110" s="1" t="str">
        <f t="shared" si="6"/>
        <v/>
      </c>
    </row>
    <row r="111" spans="2:8" ht="18" x14ac:dyDescent="0.35">
      <c r="B111" s="2"/>
      <c r="C111" s="5" t="str">
        <f t="shared" si="7"/>
        <v/>
      </c>
      <c r="D111" s="1" t="str">
        <f t="shared" si="8"/>
        <v/>
      </c>
      <c r="E111" s="4">
        <v>0</v>
      </c>
      <c r="F111" s="1" t="str">
        <f t="shared" si="9"/>
        <v/>
      </c>
      <c r="G111" s="1" t="str">
        <f t="shared" si="5"/>
        <v/>
      </c>
      <c r="H111" s="1" t="str">
        <f t="shared" si="6"/>
        <v/>
      </c>
    </row>
    <row r="112" spans="2:8" ht="18" x14ac:dyDescent="0.35">
      <c r="B112" s="2"/>
      <c r="C112" s="5" t="str">
        <f t="shared" si="7"/>
        <v/>
      </c>
      <c r="D112" s="1" t="str">
        <f t="shared" si="8"/>
        <v/>
      </c>
      <c r="E112" s="4">
        <v>0</v>
      </c>
      <c r="F112" s="1" t="str">
        <f t="shared" si="9"/>
        <v/>
      </c>
      <c r="G112" s="1" t="str">
        <f t="shared" si="5"/>
        <v/>
      </c>
      <c r="H112" s="1" t="str">
        <f t="shared" si="6"/>
        <v/>
      </c>
    </row>
    <row r="113" spans="2:8" ht="18" x14ac:dyDescent="0.35">
      <c r="B113" s="2"/>
      <c r="C113" s="5" t="str">
        <f t="shared" si="7"/>
        <v/>
      </c>
      <c r="D113" s="1" t="str">
        <f t="shared" si="8"/>
        <v/>
      </c>
      <c r="E113" s="4">
        <v>0</v>
      </c>
      <c r="F113" s="1" t="str">
        <f t="shared" si="9"/>
        <v/>
      </c>
      <c r="G113" s="1" t="str">
        <f t="shared" si="5"/>
        <v/>
      </c>
      <c r="H113" s="1" t="str">
        <f t="shared" si="6"/>
        <v/>
      </c>
    </row>
    <row r="114" spans="2:8" ht="18" x14ac:dyDescent="0.35">
      <c r="B114" s="2"/>
      <c r="C114" s="5" t="str">
        <f t="shared" si="7"/>
        <v/>
      </c>
      <c r="D114" s="1" t="str">
        <f t="shared" si="8"/>
        <v/>
      </c>
      <c r="E114" s="4">
        <v>0</v>
      </c>
      <c r="F114" s="1" t="str">
        <f t="shared" si="9"/>
        <v/>
      </c>
      <c r="G114" s="1" t="str">
        <f t="shared" si="5"/>
        <v/>
      </c>
      <c r="H114" s="1" t="str">
        <f t="shared" si="6"/>
        <v/>
      </c>
    </row>
    <row r="115" spans="2:8" ht="18" x14ac:dyDescent="0.35">
      <c r="B115" s="2"/>
      <c r="C115" s="5" t="str">
        <f t="shared" si="7"/>
        <v/>
      </c>
      <c r="D115" s="1" t="str">
        <f t="shared" si="8"/>
        <v/>
      </c>
      <c r="E115" s="4">
        <v>0</v>
      </c>
      <c r="F115" s="1" t="str">
        <f t="shared" si="9"/>
        <v/>
      </c>
      <c r="G115" s="1" t="str">
        <f t="shared" si="5"/>
        <v/>
      </c>
      <c r="H115" s="1" t="str">
        <f t="shared" si="6"/>
        <v/>
      </c>
    </row>
    <row r="116" spans="2:8" ht="18" x14ac:dyDescent="0.35">
      <c r="B116" s="2"/>
      <c r="C116" s="5" t="str">
        <f t="shared" si="7"/>
        <v/>
      </c>
      <c r="D116" s="1" t="str">
        <f t="shared" si="8"/>
        <v/>
      </c>
      <c r="E116" s="4">
        <v>0</v>
      </c>
      <c r="F116" s="1" t="str">
        <f t="shared" si="9"/>
        <v/>
      </c>
      <c r="G116" s="1" t="str">
        <f t="shared" si="5"/>
        <v/>
      </c>
      <c r="H116" s="1" t="str">
        <f t="shared" si="6"/>
        <v/>
      </c>
    </row>
    <row r="117" spans="2:8" ht="18" x14ac:dyDescent="0.35">
      <c r="B117" s="2"/>
      <c r="C117" s="5" t="str">
        <f t="shared" si="7"/>
        <v/>
      </c>
      <c r="D117" s="1" t="str">
        <f t="shared" si="8"/>
        <v/>
      </c>
      <c r="E117" s="4">
        <v>0</v>
      </c>
      <c r="F117" s="1" t="str">
        <f t="shared" si="9"/>
        <v/>
      </c>
      <c r="G117" s="1" t="str">
        <f t="shared" si="5"/>
        <v/>
      </c>
      <c r="H117" s="1" t="str">
        <f t="shared" si="6"/>
        <v/>
      </c>
    </row>
    <row r="118" spans="2:8" ht="18" x14ac:dyDescent="0.35">
      <c r="B118" s="2"/>
      <c r="C118" s="5" t="str">
        <f t="shared" si="7"/>
        <v/>
      </c>
      <c r="D118" s="1" t="str">
        <f t="shared" si="8"/>
        <v/>
      </c>
      <c r="E118" s="4">
        <v>0</v>
      </c>
      <c r="F118" s="1" t="str">
        <f t="shared" si="9"/>
        <v/>
      </c>
      <c r="G118" s="1" t="str">
        <f t="shared" si="5"/>
        <v/>
      </c>
      <c r="H118" s="1" t="str">
        <f t="shared" si="6"/>
        <v/>
      </c>
    </row>
    <row r="119" spans="2:8" ht="18" x14ac:dyDescent="0.35">
      <c r="B119" s="2"/>
      <c r="C119" s="5" t="str">
        <f t="shared" si="7"/>
        <v/>
      </c>
      <c r="D119" s="1" t="str">
        <f t="shared" si="8"/>
        <v/>
      </c>
      <c r="E119" s="4">
        <v>0</v>
      </c>
      <c r="F119" s="1" t="str">
        <f t="shared" si="9"/>
        <v/>
      </c>
      <c r="G119" s="1" t="str">
        <f t="shared" si="5"/>
        <v/>
      </c>
      <c r="H119" s="1" t="str">
        <f t="shared" si="6"/>
        <v/>
      </c>
    </row>
    <row r="120" spans="2:8" ht="18" x14ac:dyDescent="0.35">
      <c r="B120" s="2"/>
      <c r="C120" s="5" t="str">
        <f t="shared" si="7"/>
        <v/>
      </c>
      <c r="D120" s="1" t="str">
        <f t="shared" si="8"/>
        <v/>
      </c>
      <c r="E120" s="4">
        <v>0</v>
      </c>
      <c r="F120" s="1" t="str">
        <f t="shared" si="9"/>
        <v/>
      </c>
      <c r="G120" s="1" t="str">
        <f t="shared" si="5"/>
        <v/>
      </c>
      <c r="H120" s="1" t="str">
        <f t="shared" si="6"/>
        <v/>
      </c>
    </row>
    <row r="121" spans="2:8" ht="18" x14ac:dyDescent="0.35">
      <c r="B121" s="2"/>
      <c r="C121" s="5" t="str">
        <f t="shared" si="7"/>
        <v/>
      </c>
      <c r="D121" s="1" t="str">
        <f t="shared" si="8"/>
        <v/>
      </c>
      <c r="E121" s="4">
        <v>0</v>
      </c>
      <c r="F121" s="1" t="str">
        <f t="shared" si="9"/>
        <v/>
      </c>
      <c r="G121" s="1" t="str">
        <f t="shared" si="5"/>
        <v/>
      </c>
      <c r="H121" s="1" t="str">
        <f t="shared" si="6"/>
        <v/>
      </c>
    </row>
    <row r="122" spans="2:8" ht="18" x14ac:dyDescent="0.35">
      <c r="B122" s="2"/>
      <c r="C122" s="5" t="str">
        <f t="shared" si="7"/>
        <v/>
      </c>
      <c r="D122" s="1" t="str">
        <f t="shared" si="8"/>
        <v/>
      </c>
      <c r="E122" s="4">
        <v>0</v>
      </c>
      <c r="F122" s="1" t="str">
        <f t="shared" si="9"/>
        <v/>
      </c>
      <c r="G122" s="1" t="str">
        <f t="shared" si="5"/>
        <v/>
      </c>
      <c r="H122" s="1" t="str">
        <f t="shared" si="6"/>
        <v/>
      </c>
    </row>
    <row r="123" spans="2:8" ht="18" x14ac:dyDescent="0.35">
      <c r="B123" s="2"/>
      <c r="C123" s="5" t="str">
        <f t="shared" si="7"/>
        <v/>
      </c>
      <c r="D123" s="1" t="str">
        <f t="shared" si="8"/>
        <v/>
      </c>
      <c r="E123" s="4">
        <v>0</v>
      </c>
      <c r="F123" s="1" t="str">
        <f t="shared" si="9"/>
        <v/>
      </c>
      <c r="G123" s="1" t="str">
        <f t="shared" si="5"/>
        <v/>
      </c>
      <c r="H123" s="1" t="str">
        <f t="shared" si="6"/>
        <v/>
      </c>
    </row>
    <row r="124" spans="2:8" ht="18" x14ac:dyDescent="0.35">
      <c r="B124" s="2"/>
      <c r="C124" s="5" t="str">
        <f t="shared" si="7"/>
        <v/>
      </c>
      <c r="D124" s="1" t="str">
        <f t="shared" si="8"/>
        <v/>
      </c>
      <c r="E124" s="4">
        <v>0</v>
      </c>
      <c r="F124" s="1" t="str">
        <f t="shared" si="9"/>
        <v/>
      </c>
      <c r="G124" s="1" t="str">
        <f t="shared" si="5"/>
        <v/>
      </c>
      <c r="H124" s="1" t="str">
        <f t="shared" si="6"/>
        <v/>
      </c>
    </row>
    <row r="125" spans="2:8" ht="18" x14ac:dyDescent="0.35">
      <c r="B125" s="2"/>
      <c r="C125" s="5" t="str">
        <f t="shared" si="7"/>
        <v/>
      </c>
      <c r="D125" s="1" t="str">
        <f t="shared" si="8"/>
        <v/>
      </c>
      <c r="E125" s="4">
        <v>0</v>
      </c>
      <c r="F125" s="1" t="str">
        <f t="shared" si="9"/>
        <v/>
      </c>
      <c r="G125" s="1" t="str">
        <f t="shared" si="5"/>
        <v/>
      </c>
      <c r="H125" s="1" t="str">
        <f t="shared" si="6"/>
        <v/>
      </c>
    </row>
    <row r="126" spans="2:8" ht="18" x14ac:dyDescent="0.35">
      <c r="B126" s="2"/>
      <c r="C126" s="5" t="str">
        <f t="shared" si="7"/>
        <v/>
      </c>
      <c r="D126" s="1" t="str">
        <f t="shared" si="8"/>
        <v/>
      </c>
      <c r="E126" s="4">
        <v>0</v>
      </c>
      <c r="F126" s="1" t="str">
        <f t="shared" si="9"/>
        <v/>
      </c>
      <c r="G126" s="1" t="str">
        <f t="shared" si="5"/>
        <v/>
      </c>
      <c r="H126" s="1" t="str">
        <f t="shared" si="6"/>
        <v/>
      </c>
    </row>
    <row r="127" spans="2:8" ht="18" x14ac:dyDescent="0.35">
      <c r="B127" s="2"/>
      <c r="C127" s="5" t="str">
        <f t="shared" si="7"/>
        <v/>
      </c>
      <c r="D127" s="1" t="str">
        <f t="shared" si="8"/>
        <v/>
      </c>
      <c r="E127" s="4">
        <v>0</v>
      </c>
      <c r="F127" s="1" t="str">
        <f t="shared" si="9"/>
        <v/>
      </c>
      <c r="G127" s="1" t="str">
        <f t="shared" si="5"/>
        <v/>
      </c>
      <c r="H127" s="1" t="str">
        <f t="shared" si="6"/>
        <v/>
      </c>
    </row>
    <row r="128" spans="2:8" ht="18" x14ac:dyDescent="0.35">
      <c r="B128" s="2"/>
      <c r="C128" s="5" t="str">
        <f t="shared" si="7"/>
        <v/>
      </c>
      <c r="D128" s="1" t="str">
        <f t="shared" si="8"/>
        <v/>
      </c>
      <c r="E128" s="4">
        <v>0</v>
      </c>
      <c r="F128" s="1" t="str">
        <f t="shared" si="9"/>
        <v/>
      </c>
      <c r="G128" s="1" t="str">
        <f t="shared" si="5"/>
        <v/>
      </c>
      <c r="H128" s="1" t="str">
        <f t="shared" si="6"/>
        <v/>
      </c>
    </row>
    <row r="129" spans="2:8" ht="18" x14ac:dyDescent="0.35">
      <c r="B129" s="2"/>
      <c r="C129" s="5" t="str">
        <f t="shared" si="7"/>
        <v/>
      </c>
      <c r="D129" s="1" t="str">
        <f t="shared" si="8"/>
        <v/>
      </c>
      <c r="E129" s="4">
        <v>0</v>
      </c>
      <c r="F129" s="1" t="str">
        <f t="shared" si="9"/>
        <v/>
      </c>
      <c r="G129" s="1" t="str">
        <f t="shared" si="5"/>
        <v/>
      </c>
      <c r="H129" s="1" t="str">
        <f t="shared" si="6"/>
        <v/>
      </c>
    </row>
    <row r="130" spans="2:8" ht="18" x14ac:dyDescent="0.35">
      <c r="B130" s="2"/>
      <c r="C130" s="5" t="str">
        <f t="shared" si="7"/>
        <v/>
      </c>
      <c r="D130" s="1" t="str">
        <f t="shared" si="8"/>
        <v/>
      </c>
      <c r="E130" s="4">
        <v>0</v>
      </c>
      <c r="F130" s="1" t="str">
        <f t="shared" si="9"/>
        <v/>
      </c>
      <c r="G130" s="1" t="str">
        <f t="shared" si="5"/>
        <v/>
      </c>
      <c r="H130" s="1" t="str">
        <f t="shared" si="6"/>
        <v/>
      </c>
    </row>
    <row r="131" spans="2:8" ht="18" x14ac:dyDescent="0.35">
      <c r="B131" s="2"/>
      <c r="C131" s="5" t="str">
        <f t="shared" si="7"/>
        <v/>
      </c>
      <c r="D131" s="1" t="str">
        <f t="shared" si="8"/>
        <v/>
      </c>
      <c r="E131" s="4">
        <v>0</v>
      </c>
      <c r="F131" s="1" t="str">
        <f t="shared" si="9"/>
        <v/>
      </c>
      <c r="G131" s="1" t="str">
        <f t="shared" si="5"/>
        <v/>
      </c>
      <c r="H131" s="1" t="str">
        <f t="shared" si="6"/>
        <v/>
      </c>
    </row>
    <row r="132" spans="2:8" ht="18" x14ac:dyDescent="0.35">
      <c r="B132" s="2"/>
      <c r="C132" s="5" t="str">
        <f t="shared" si="7"/>
        <v/>
      </c>
      <c r="D132" s="1" t="str">
        <f t="shared" si="8"/>
        <v/>
      </c>
      <c r="E132" s="4">
        <v>0</v>
      </c>
      <c r="F132" s="1" t="str">
        <f t="shared" si="9"/>
        <v/>
      </c>
      <c r="G132" s="1" t="str">
        <f t="shared" si="5"/>
        <v/>
      </c>
      <c r="H132" s="1" t="str">
        <f t="shared" si="6"/>
        <v/>
      </c>
    </row>
    <row r="133" spans="2:8" ht="18" x14ac:dyDescent="0.35">
      <c r="B133" s="2"/>
      <c r="C133" s="5" t="str">
        <f t="shared" si="7"/>
        <v/>
      </c>
      <c r="D133" s="1" t="str">
        <f t="shared" si="8"/>
        <v/>
      </c>
      <c r="E133" s="4">
        <v>0</v>
      </c>
      <c r="F133" s="1" t="str">
        <f t="shared" si="9"/>
        <v/>
      </c>
      <c r="G133" s="1" t="str">
        <f t="shared" si="5"/>
        <v/>
      </c>
      <c r="H133" s="1" t="str">
        <f t="shared" si="6"/>
        <v/>
      </c>
    </row>
    <row r="134" spans="2:8" ht="18" x14ac:dyDescent="0.35">
      <c r="B134" s="2"/>
      <c r="C134" s="5" t="str">
        <f t="shared" si="7"/>
        <v/>
      </c>
      <c r="D134" s="1" t="str">
        <f t="shared" si="8"/>
        <v/>
      </c>
      <c r="E134" s="4">
        <v>0</v>
      </c>
      <c r="F134" s="1" t="str">
        <f t="shared" si="9"/>
        <v/>
      </c>
      <c r="G134" s="1" t="str">
        <f t="shared" si="5"/>
        <v/>
      </c>
      <c r="H134" s="1" t="str">
        <f t="shared" si="6"/>
        <v/>
      </c>
    </row>
    <row r="135" spans="2:8" ht="18" x14ac:dyDescent="0.35">
      <c r="B135" s="2"/>
      <c r="C135" s="5" t="str">
        <f t="shared" si="7"/>
        <v/>
      </c>
      <c r="D135" s="1" t="str">
        <f t="shared" si="8"/>
        <v/>
      </c>
      <c r="E135" s="4">
        <v>0</v>
      </c>
      <c r="F135" s="1" t="str">
        <f t="shared" si="9"/>
        <v/>
      </c>
      <c r="G135" s="1" t="str">
        <f t="shared" si="5"/>
        <v/>
      </c>
      <c r="H135" s="1" t="str">
        <f t="shared" si="6"/>
        <v/>
      </c>
    </row>
    <row r="136" spans="2:8" ht="18" x14ac:dyDescent="0.35">
      <c r="B136" s="2"/>
      <c r="C136" s="5" t="str">
        <f t="shared" si="7"/>
        <v/>
      </c>
      <c r="D136" s="1" t="str">
        <f t="shared" si="8"/>
        <v/>
      </c>
      <c r="E136" s="4">
        <v>0</v>
      </c>
      <c r="F136" s="1" t="str">
        <f t="shared" si="9"/>
        <v/>
      </c>
      <c r="G136" s="1" t="str">
        <f t="shared" si="5"/>
        <v/>
      </c>
      <c r="H136" s="1" t="str">
        <f t="shared" si="6"/>
        <v/>
      </c>
    </row>
    <row r="137" spans="2:8" ht="18" x14ac:dyDescent="0.35">
      <c r="B137" s="2"/>
      <c r="C137" s="5" t="str">
        <f t="shared" si="7"/>
        <v/>
      </c>
      <c r="D137" s="1" t="str">
        <f t="shared" si="8"/>
        <v/>
      </c>
      <c r="E137" s="4">
        <v>0</v>
      </c>
      <c r="F137" s="1" t="str">
        <f t="shared" si="9"/>
        <v/>
      </c>
      <c r="G137" s="1" t="str">
        <f t="shared" si="5"/>
        <v/>
      </c>
      <c r="H137" s="1" t="str">
        <f t="shared" si="6"/>
        <v/>
      </c>
    </row>
    <row r="138" spans="2:8" ht="18" x14ac:dyDescent="0.35">
      <c r="B138" s="2"/>
      <c r="C138" s="5" t="str">
        <f t="shared" si="7"/>
        <v/>
      </c>
      <c r="D138" s="1" t="str">
        <f t="shared" si="8"/>
        <v/>
      </c>
      <c r="E138" s="4">
        <v>0</v>
      </c>
      <c r="F138" s="1" t="str">
        <f t="shared" si="9"/>
        <v/>
      </c>
      <c r="G138" s="1" t="str">
        <f t="shared" si="5"/>
        <v/>
      </c>
      <c r="H138" s="1" t="str">
        <f t="shared" si="6"/>
        <v/>
      </c>
    </row>
    <row r="139" spans="2:8" ht="18" x14ac:dyDescent="0.35">
      <c r="B139" s="2"/>
      <c r="C139" s="5" t="str">
        <f t="shared" si="7"/>
        <v/>
      </c>
      <c r="D139" s="1" t="str">
        <f t="shared" si="8"/>
        <v/>
      </c>
      <c r="E139" s="4">
        <v>0</v>
      </c>
      <c r="F139" s="1" t="str">
        <f t="shared" si="9"/>
        <v/>
      </c>
      <c r="G139" s="1" t="str">
        <f t="shared" si="5"/>
        <v/>
      </c>
      <c r="H139" s="1" t="str">
        <f t="shared" si="6"/>
        <v/>
      </c>
    </row>
    <row r="140" spans="2:8" ht="18" x14ac:dyDescent="0.35">
      <c r="B140" s="2"/>
      <c r="C140" s="5" t="str">
        <f t="shared" si="7"/>
        <v/>
      </c>
      <c r="D140" s="1" t="str">
        <f t="shared" si="8"/>
        <v/>
      </c>
      <c r="E140" s="4">
        <v>0</v>
      </c>
      <c r="F140" s="1" t="str">
        <f t="shared" si="9"/>
        <v/>
      </c>
      <c r="G140" s="1" t="str">
        <f t="shared" si="5"/>
        <v/>
      </c>
      <c r="H140" s="1" t="str">
        <f t="shared" si="6"/>
        <v/>
      </c>
    </row>
    <row r="141" spans="2:8" ht="18" x14ac:dyDescent="0.35">
      <c r="B141" s="2"/>
      <c r="C141" s="5" t="str">
        <f t="shared" si="7"/>
        <v/>
      </c>
      <c r="D141" s="1" t="str">
        <f t="shared" si="8"/>
        <v/>
      </c>
      <c r="E141" s="4">
        <v>0</v>
      </c>
      <c r="F141" s="1" t="str">
        <f t="shared" si="9"/>
        <v/>
      </c>
      <c r="G141" s="1" t="str">
        <f t="shared" si="5"/>
        <v/>
      </c>
      <c r="H141" s="1" t="str">
        <f t="shared" si="6"/>
        <v/>
      </c>
    </row>
    <row r="142" spans="2:8" ht="18" x14ac:dyDescent="0.35">
      <c r="B142" s="2"/>
      <c r="C142" s="5" t="str">
        <f t="shared" si="7"/>
        <v/>
      </c>
      <c r="D142" s="1" t="str">
        <f t="shared" si="8"/>
        <v/>
      </c>
      <c r="E142" s="4">
        <v>0</v>
      </c>
      <c r="F142" s="1" t="str">
        <f t="shared" si="9"/>
        <v/>
      </c>
      <c r="G142" s="1" t="str">
        <f t="shared" si="5"/>
        <v/>
      </c>
      <c r="H142" s="1" t="str">
        <f t="shared" si="6"/>
        <v/>
      </c>
    </row>
    <row r="143" spans="2:8" ht="18" x14ac:dyDescent="0.35">
      <c r="B143" s="2"/>
      <c r="C143" s="5" t="str">
        <f t="shared" si="7"/>
        <v/>
      </c>
      <c r="D143" s="1" t="str">
        <f t="shared" si="8"/>
        <v/>
      </c>
      <c r="E143" s="4">
        <v>0</v>
      </c>
      <c r="F143" s="1" t="str">
        <f t="shared" si="9"/>
        <v/>
      </c>
      <c r="G143" s="1" t="str">
        <f t="shared" si="5"/>
        <v/>
      </c>
      <c r="H143" s="1" t="str">
        <f t="shared" si="6"/>
        <v/>
      </c>
    </row>
    <row r="144" spans="2:8" ht="18" x14ac:dyDescent="0.35">
      <c r="B144" s="2"/>
      <c r="C144" s="5" t="str">
        <f t="shared" si="7"/>
        <v/>
      </c>
      <c r="D144" s="1" t="str">
        <f t="shared" si="8"/>
        <v/>
      </c>
      <c r="E144" s="4">
        <v>0</v>
      </c>
      <c r="F144" s="1" t="str">
        <f t="shared" si="9"/>
        <v/>
      </c>
      <c r="G144" s="1" t="str">
        <f t="shared" si="5"/>
        <v/>
      </c>
      <c r="H144" s="1" t="str">
        <f t="shared" si="6"/>
        <v/>
      </c>
    </row>
    <row r="145" spans="2:8" ht="18" x14ac:dyDescent="0.35">
      <c r="B145" s="2"/>
      <c r="C145" s="5" t="str">
        <f t="shared" si="7"/>
        <v/>
      </c>
      <c r="D145" s="1" t="str">
        <f t="shared" si="8"/>
        <v/>
      </c>
      <c r="E145" s="4">
        <v>0</v>
      </c>
      <c r="F145" s="1" t="str">
        <f t="shared" si="9"/>
        <v/>
      </c>
      <c r="G145" s="1" t="str">
        <f t="shared" si="5"/>
        <v/>
      </c>
      <c r="H145" s="1" t="str">
        <f t="shared" si="6"/>
        <v/>
      </c>
    </row>
    <row r="146" spans="2:8" ht="18" x14ac:dyDescent="0.35">
      <c r="B146" s="2"/>
      <c r="C146" s="5" t="str">
        <f t="shared" si="7"/>
        <v/>
      </c>
      <c r="D146" s="1" t="str">
        <f t="shared" si="8"/>
        <v/>
      </c>
      <c r="E146" s="4">
        <v>0</v>
      </c>
      <c r="F146" s="1" t="str">
        <f t="shared" si="9"/>
        <v/>
      </c>
      <c r="G146" s="1" t="str">
        <f t="shared" si="5"/>
        <v/>
      </c>
      <c r="H146" s="1" t="str">
        <f t="shared" si="6"/>
        <v/>
      </c>
    </row>
    <row r="147" spans="2:8" ht="18" x14ac:dyDescent="0.35">
      <c r="B147" s="2"/>
      <c r="C147" s="5" t="str">
        <f t="shared" si="7"/>
        <v/>
      </c>
      <c r="D147" s="1" t="str">
        <f t="shared" si="8"/>
        <v/>
      </c>
      <c r="E147" s="4">
        <v>0</v>
      </c>
      <c r="F147" s="1" t="str">
        <f t="shared" si="9"/>
        <v/>
      </c>
      <c r="G147" s="1" t="str">
        <f t="shared" si="5"/>
        <v/>
      </c>
      <c r="H147" s="1" t="str">
        <f t="shared" si="6"/>
        <v/>
      </c>
    </row>
    <row r="148" spans="2:8" ht="18" x14ac:dyDescent="0.35">
      <c r="B148" s="2"/>
      <c r="C148" s="5" t="str">
        <f t="shared" si="7"/>
        <v/>
      </c>
      <c r="D148" s="1" t="str">
        <f t="shared" si="8"/>
        <v/>
      </c>
      <c r="E148" s="4">
        <v>0</v>
      </c>
      <c r="F148" s="1" t="str">
        <f t="shared" si="9"/>
        <v/>
      </c>
      <c r="G148" s="1" t="str">
        <f t="shared" si="5"/>
        <v/>
      </c>
      <c r="H148" s="1" t="str">
        <f t="shared" si="6"/>
        <v/>
      </c>
    </row>
    <row r="149" spans="2:8" ht="18" x14ac:dyDescent="0.35">
      <c r="B149" s="2"/>
      <c r="C149" s="5" t="str">
        <f t="shared" si="7"/>
        <v/>
      </c>
      <c r="D149" s="1" t="str">
        <f t="shared" si="8"/>
        <v/>
      </c>
      <c r="E149" s="4">
        <v>0</v>
      </c>
      <c r="F149" s="1" t="str">
        <f t="shared" si="9"/>
        <v/>
      </c>
      <c r="G149" s="1" t="str">
        <f t="shared" si="5"/>
        <v/>
      </c>
      <c r="H149" s="1" t="str">
        <f t="shared" si="6"/>
        <v/>
      </c>
    </row>
    <row r="150" spans="2:8" ht="18" x14ac:dyDescent="0.35">
      <c r="B150" s="2"/>
      <c r="C150" s="5" t="str">
        <f t="shared" si="7"/>
        <v/>
      </c>
      <c r="D150" s="1" t="str">
        <f t="shared" si="8"/>
        <v/>
      </c>
      <c r="E150" s="4">
        <v>0</v>
      </c>
      <c r="F150" s="1" t="str">
        <f t="shared" si="9"/>
        <v/>
      </c>
      <c r="G150" s="1" t="str">
        <f t="shared" ref="G150:G213" si="10">IF(B150="","",D150+E150)</f>
        <v/>
      </c>
      <c r="H150" s="1" t="str">
        <f t="shared" ref="H150:H213" si="11">IF(B150="","",H149-G150-E150)</f>
        <v/>
      </c>
    </row>
    <row r="151" spans="2:8" ht="18" x14ac:dyDescent="0.35">
      <c r="B151" s="2"/>
      <c r="C151" s="5" t="str">
        <f t="shared" ref="C151:C214" si="12">IF(H150=0,"",IF(B151="","",EOMONTH(C150,0)+1))</f>
        <v/>
      </c>
      <c r="D151" s="1" t="str">
        <f t="shared" ref="D151:D214" si="13">IF(H150&lt;$D$15,H150,IF(B151="","",MIN(H150+F151,$D$15)))</f>
        <v/>
      </c>
      <c r="E151" s="4">
        <v>0</v>
      </c>
      <c r="F151" s="1" t="str">
        <f t="shared" ref="F151:F214" si="14">IF(H150=0,"",IF(B151="","",$H$20*$H$8))</f>
        <v/>
      </c>
      <c r="G151" s="1" t="str">
        <f t="shared" si="10"/>
        <v/>
      </c>
      <c r="H151" s="1" t="str">
        <f t="shared" si="11"/>
        <v/>
      </c>
    </row>
    <row r="152" spans="2:8" ht="18" x14ac:dyDescent="0.35">
      <c r="B152" s="2"/>
      <c r="C152" s="5" t="str">
        <f t="shared" si="12"/>
        <v/>
      </c>
      <c r="D152" s="1" t="str">
        <f t="shared" si="13"/>
        <v/>
      </c>
      <c r="E152" s="4">
        <v>0</v>
      </c>
      <c r="F152" s="1" t="str">
        <f t="shared" si="14"/>
        <v/>
      </c>
      <c r="G152" s="1" t="str">
        <f t="shared" si="10"/>
        <v/>
      </c>
      <c r="H152" s="1" t="str">
        <f t="shared" si="11"/>
        <v/>
      </c>
    </row>
    <row r="153" spans="2:8" ht="18" x14ac:dyDescent="0.35">
      <c r="B153" s="2"/>
      <c r="C153" s="5" t="str">
        <f t="shared" si="12"/>
        <v/>
      </c>
      <c r="D153" s="1" t="str">
        <f t="shared" si="13"/>
        <v/>
      </c>
      <c r="E153" s="4">
        <v>0</v>
      </c>
      <c r="F153" s="1" t="str">
        <f t="shared" si="14"/>
        <v/>
      </c>
      <c r="G153" s="1" t="str">
        <f t="shared" si="10"/>
        <v/>
      </c>
      <c r="H153" s="1" t="str">
        <f t="shared" si="11"/>
        <v/>
      </c>
    </row>
    <row r="154" spans="2:8" ht="18" x14ac:dyDescent="0.35">
      <c r="B154" s="2"/>
      <c r="C154" s="5" t="str">
        <f t="shared" si="12"/>
        <v/>
      </c>
      <c r="D154" s="1" t="str">
        <f t="shared" si="13"/>
        <v/>
      </c>
      <c r="E154" s="4">
        <v>0</v>
      </c>
      <c r="F154" s="1" t="str">
        <f t="shared" si="14"/>
        <v/>
      </c>
      <c r="G154" s="1" t="str">
        <f t="shared" si="10"/>
        <v/>
      </c>
      <c r="H154" s="1" t="str">
        <f t="shared" si="11"/>
        <v/>
      </c>
    </row>
    <row r="155" spans="2:8" ht="18" x14ac:dyDescent="0.35">
      <c r="B155" s="2"/>
      <c r="C155" s="5" t="str">
        <f t="shared" si="12"/>
        <v/>
      </c>
      <c r="D155" s="1" t="str">
        <f t="shared" si="13"/>
        <v/>
      </c>
      <c r="E155" s="4">
        <v>0</v>
      </c>
      <c r="F155" s="1" t="str">
        <f t="shared" si="14"/>
        <v/>
      </c>
      <c r="G155" s="1" t="str">
        <f t="shared" si="10"/>
        <v/>
      </c>
      <c r="H155" s="1" t="str">
        <f t="shared" si="11"/>
        <v/>
      </c>
    </row>
    <row r="156" spans="2:8" ht="18" x14ac:dyDescent="0.35">
      <c r="B156" s="2"/>
      <c r="C156" s="5" t="str">
        <f t="shared" si="12"/>
        <v/>
      </c>
      <c r="D156" s="1" t="str">
        <f t="shared" si="13"/>
        <v/>
      </c>
      <c r="E156" s="4">
        <v>0</v>
      </c>
      <c r="F156" s="1" t="str">
        <f t="shared" si="14"/>
        <v/>
      </c>
      <c r="G156" s="1" t="str">
        <f t="shared" si="10"/>
        <v/>
      </c>
      <c r="H156" s="1" t="str">
        <f t="shared" si="11"/>
        <v/>
      </c>
    </row>
    <row r="157" spans="2:8" ht="18" x14ac:dyDescent="0.35">
      <c r="B157" s="2"/>
      <c r="C157" s="5" t="str">
        <f t="shared" si="12"/>
        <v/>
      </c>
      <c r="D157" s="1" t="str">
        <f t="shared" si="13"/>
        <v/>
      </c>
      <c r="E157" s="4">
        <v>0</v>
      </c>
      <c r="F157" s="1" t="str">
        <f t="shared" si="14"/>
        <v/>
      </c>
      <c r="G157" s="1" t="str">
        <f t="shared" si="10"/>
        <v/>
      </c>
      <c r="H157" s="1" t="str">
        <f t="shared" si="11"/>
        <v/>
      </c>
    </row>
    <row r="158" spans="2:8" ht="18" x14ac:dyDescent="0.35">
      <c r="B158" s="2"/>
      <c r="C158" s="5" t="str">
        <f t="shared" si="12"/>
        <v/>
      </c>
      <c r="D158" s="1" t="str">
        <f t="shared" si="13"/>
        <v/>
      </c>
      <c r="E158" s="4">
        <v>0</v>
      </c>
      <c r="F158" s="1" t="str">
        <f t="shared" si="14"/>
        <v/>
      </c>
      <c r="G158" s="1" t="str">
        <f t="shared" si="10"/>
        <v/>
      </c>
      <c r="H158" s="1" t="str">
        <f t="shared" si="11"/>
        <v/>
      </c>
    </row>
    <row r="159" spans="2:8" ht="18" x14ac:dyDescent="0.35">
      <c r="B159" s="2"/>
      <c r="C159" s="5" t="str">
        <f t="shared" si="12"/>
        <v/>
      </c>
      <c r="D159" s="1" t="str">
        <f t="shared" si="13"/>
        <v/>
      </c>
      <c r="E159" s="4">
        <v>0</v>
      </c>
      <c r="F159" s="1" t="str">
        <f t="shared" si="14"/>
        <v/>
      </c>
      <c r="G159" s="1" t="str">
        <f t="shared" si="10"/>
        <v/>
      </c>
      <c r="H159" s="1" t="str">
        <f t="shared" si="11"/>
        <v/>
      </c>
    </row>
    <row r="160" spans="2:8" ht="18" x14ac:dyDescent="0.35">
      <c r="B160" s="2"/>
      <c r="C160" s="5" t="str">
        <f t="shared" si="12"/>
        <v/>
      </c>
      <c r="D160" s="1" t="str">
        <f t="shared" si="13"/>
        <v/>
      </c>
      <c r="E160" s="4">
        <v>0</v>
      </c>
      <c r="F160" s="1" t="str">
        <f t="shared" si="14"/>
        <v/>
      </c>
      <c r="G160" s="1" t="str">
        <f t="shared" si="10"/>
        <v/>
      </c>
      <c r="H160" s="1" t="str">
        <f t="shared" si="11"/>
        <v/>
      </c>
    </row>
    <row r="161" spans="2:8" ht="18" x14ac:dyDescent="0.35">
      <c r="B161" s="2"/>
      <c r="C161" s="5" t="str">
        <f t="shared" si="12"/>
        <v/>
      </c>
      <c r="D161" s="1" t="str">
        <f t="shared" si="13"/>
        <v/>
      </c>
      <c r="E161" s="4">
        <v>0</v>
      </c>
      <c r="F161" s="1" t="str">
        <f t="shared" si="14"/>
        <v/>
      </c>
      <c r="G161" s="1" t="str">
        <f t="shared" si="10"/>
        <v/>
      </c>
      <c r="H161" s="1" t="str">
        <f t="shared" si="11"/>
        <v/>
      </c>
    </row>
    <row r="162" spans="2:8" ht="18" x14ac:dyDescent="0.35">
      <c r="B162" s="2"/>
      <c r="C162" s="5" t="str">
        <f t="shared" si="12"/>
        <v/>
      </c>
      <c r="D162" s="1" t="str">
        <f t="shared" si="13"/>
        <v/>
      </c>
      <c r="E162" s="4">
        <v>0</v>
      </c>
      <c r="F162" s="1" t="str">
        <f t="shared" si="14"/>
        <v/>
      </c>
      <c r="G162" s="1" t="str">
        <f t="shared" si="10"/>
        <v/>
      </c>
      <c r="H162" s="1" t="str">
        <f t="shared" si="11"/>
        <v/>
      </c>
    </row>
    <row r="163" spans="2:8" ht="18" x14ac:dyDescent="0.35">
      <c r="B163" s="2"/>
      <c r="C163" s="5" t="str">
        <f t="shared" si="12"/>
        <v/>
      </c>
      <c r="D163" s="1" t="str">
        <f t="shared" si="13"/>
        <v/>
      </c>
      <c r="E163" s="4">
        <v>0</v>
      </c>
      <c r="F163" s="1" t="str">
        <f t="shared" si="14"/>
        <v/>
      </c>
      <c r="G163" s="1" t="str">
        <f t="shared" si="10"/>
        <v/>
      </c>
      <c r="H163" s="1" t="str">
        <f t="shared" si="11"/>
        <v/>
      </c>
    </row>
    <row r="164" spans="2:8" ht="18" x14ac:dyDescent="0.35">
      <c r="B164" s="2"/>
      <c r="C164" s="5" t="str">
        <f t="shared" si="12"/>
        <v/>
      </c>
      <c r="D164" s="1" t="str">
        <f t="shared" si="13"/>
        <v/>
      </c>
      <c r="E164" s="4">
        <v>0</v>
      </c>
      <c r="F164" s="1" t="str">
        <f t="shared" si="14"/>
        <v/>
      </c>
      <c r="G164" s="1" t="str">
        <f t="shared" si="10"/>
        <v/>
      </c>
      <c r="H164" s="1" t="str">
        <f t="shared" si="11"/>
        <v/>
      </c>
    </row>
    <row r="165" spans="2:8" ht="18" x14ac:dyDescent="0.35">
      <c r="B165" s="2"/>
      <c r="C165" s="5" t="str">
        <f t="shared" si="12"/>
        <v/>
      </c>
      <c r="D165" s="1" t="str">
        <f t="shared" si="13"/>
        <v/>
      </c>
      <c r="E165" s="4">
        <v>0</v>
      </c>
      <c r="F165" s="1" t="str">
        <f t="shared" si="14"/>
        <v/>
      </c>
      <c r="G165" s="1" t="str">
        <f t="shared" si="10"/>
        <v/>
      </c>
      <c r="H165" s="1" t="str">
        <f t="shared" si="11"/>
        <v/>
      </c>
    </row>
    <row r="166" spans="2:8" ht="18" x14ac:dyDescent="0.35">
      <c r="B166" s="2"/>
      <c r="C166" s="5" t="str">
        <f t="shared" si="12"/>
        <v/>
      </c>
      <c r="D166" s="1" t="str">
        <f t="shared" si="13"/>
        <v/>
      </c>
      <c r="E166" s="4">
        <v>0</v>
      </c>
      <c r="F166" s="1" t="str">
        <f t="shared" si="14"/>
        <v/>
      </c>
      <c r="G166" s="1" t="str">
        <f t="shared" si="10"/>
        <v/>
      </c>
      <c r="H166" s="1" t="str">
        <f t="shared" si="11"/>
        <v/>
      </c>
    </row>
    <row r="167" spans="2:8" ht="18" x14ac:dyDescent="0.35">
      <c r="B167" s="2"/>
      <c r="C167" s="5" t="str">
        <f t="shared" si="12"/>
        <v/>
      </c>
      <c r="D167" s="1" t="str">
        <f t="shared" si="13"/>
        <v/>
      </c>
      <c r="E167" s="4">
        <v>0</v>
      </c>
      <c r="F167" s="1" t="str">
        <f t="shared" si="14"/>
        <v/>
      </c>
      <c r="G167" s="1" t="str">
        <f t="shared" si="10"/>
        <v/>
      </c>
      <c r="H167" s="1" t="str">
        <f t="shared" si="11"/>
        <v/>
      </c>
    </row>
    <row r="168" spans="2:8" ht="18" x14ac:dyDescent="0.35">
      <c r="B168" s="2"/>
      <c r="C168" s="5" t="str">
        <f t="shared" si="12"/>
        <v/>
      </c>
      <c r="D168" s="1" t="str">
        <f t="shared" si="13"/>
        <v/>
      </c>
      <c r="E168" s="4">
        <v>0</v>
      </c>
      <c r="F168" s="1" t="str">
        <f t="shared" si="14"/>
        <v/>
      </c>
      <c r="G168" s="1" t="str">
        <f t="shared" si="10"/>
        <v/>
      </c>
      <c r="H168" s="1" t="str">
        <f t="shared" si="11"/>
        <v/>
      </c>
    </row>
    <row r="169" spans="2:8" ht="18" x14ac:dyDescent="0.35">
      <c r="B169" s="2"/>
      <c r="C169" s="5" t="str">
        <f t="shared" si="12"/>
        <v/>
      </c>
      <c r="D169" s="1" t="str">
        <f t="shared" si="13"/>
        <v/>
      </c>
      <c r="E169" s="4">
        <v>0</v>
      </c>
      <c r="F169" s="1" t="str">
        <f t="shared" si="14"/>
        <v/>
      </c>
      <c r="G169" s="1" t="str">
        <f t="shared" si="10"/>
        <v/>
      </c>
      <c r="H169" s="1" t="str">
        <f t="shared" si="11"/>
        <v/>
      </c>
    </row>
    <row r="170" spans="2:8" ht="18" x14ac:dyDescent="0.35">
      <c r="B170" s="2"/>
      <c r="C170" s="5" t="str">
        <f t="shared" si="12"/>
        <v/>
      </c>
      <c r="D170" s="1" t="str">
        <f t="shared" si="13"/>
        <v/>
      </c>
      <c r="E170" s="4">
        <v>0</v>
      </c>
      <c r="F170" s="1" t="str">
        <f t="shared" si="14"/>
        <v/>
      </c>
      <c r="G170" s="1" t="str">
        <f t="shared" si="10"/>
        <v/>
      </c>
      <c r="H170" s="1" t="str">
        <f t="shared" si="11"/>
        <v/>
      </c>
    </row>
    <row r="171" spans="2:8" ht="18" x14ac:dyDescent="0.35">
      <c r="B171" s="2"/>
      <c r="C171" s="5" t="str">
        <f t="shared" si="12"/>
        <v/>
      </c>
      <c r="D171" s="1" t="str">
        <f t="shared" si="13"/>
        <v/>
      </c>
      <c r="E171" s="4">
        <v>0</v>
      </c>
      <c r="F171" s="1" t="str">
        <f t="shared" si="14"/>
        <v/>
      </c>
      <c r="G171" s="1" t="str">
        <f t="shared" si="10"/>
        <v/>
      </c>
      <c r="H171" s="1" t="str">
        <f t="shared" si="11"/>
        <v/>
      </c>
    </row>
    <row r="172" spans="2:8" ht="18" x14ac:dyDescent="0.35">
      <c r="B172" s="2"/>
      <c r="C172" s="5" t="str">
        <f t="shared" si="12"/>
        <v/>
      </c>
      <c r="D172" s="1" t="str">
        <f t="shared" si="13"/>
        <v/>
      </c>
      <c r="E172" s="4">
        <v>0</v>
      </c>
      <c r="F172" s="1" t="str">
        <f t="shared" si="14"/>
        <v/>
      </c>
      <c r="G172" s="1" t="str">
        <f t="shared" si="10"/>
        <v/>
      </c>
      <c r="H172" s="1" t="str">
        <f t="shared" si="11"/>
        <v/>
      </c>
    </row>
    <row r="173" spans="2:8" ht="18" x14ac:dyDescent="0.35">
      <c r="B173" s="2"/>
      <c r="C173" s="5" t="str">
        <f t="shared" si="12"/>
        <v/>
      </c>
      <c r="D173" s="1" t="str">
        <f t="shared" si="13"/>
        <v/>
      </c>
      <c r="E173" s="4">
        <v>0</v>
      </c>
      <c r="F173" s="1" t="str">
        <f t="shared" si="14"/>
        <v/>
      </c>
      <c r="G173" s="1" t="str">
        <f t="shared" si="10"/>
        <v/>
      </c>
      <c r="H173" s="1" t="str">
        <f t="shared" si="11"/>
        <v/>
      </c>
    </row>
    <row r="174" spans="2:8" ht="18" x14ac:dyDescent="0.35">
      <c r="B174" s="2"/>
      <c r="C174" s="5" t="str">
        <f t="shared" si="12"/>
        <v/>
      </c>
      <c r="D174" s="1" t="str">
        <f t="shared" si="13"/>
        <v/>
      </c>
      <c r="E174" s="4">
        <v>0</v>
      </c>
      <c r="F174" s="1" t="str">
        <f t="shared" si="14"/>
        <v/>
      </c>
      <c r="G174" s="1" t="str">
        <f t="shared" si="10"/>
        <v/>
      </c>
      <c r="H174" s="1" t="str">
        <f t="shared" si="11"/>
        <v/>
      </c>
    </row>
    <row r="175" spans="2:8" ht="18" x14ac:dyDescent="0.35">
      <c r="B175" s="2"/>
      <c r="C175" s="5" t="str">
        <f t="shared" si="12"/>
        <v/>
      </c>
      <c r="D175" s="1" t="str">
        <f t="shared" si="13"/>
        <v/>
      </c>
      <c r="E175" s="4">
        <v>0</v>
      </c>
      <c r="F175" s="1" t="str">
        <f t="shared" si="14"/>
        <v/>
      </c>
      <c r="G175" s="1" t="str">
        <f t="shared" si="10"/>
        <v/>
      </c>
      <c r="H175" s="1" t="str">
        <f t="shared" si="11"/>
        <v/>
      </c>
    </row>
    <row r="176" spans="2:8" ht="18" x14ac:dyDescent="0.35">
      <c r="B176" s="2"/>
      <c r="C176" s="5" t="str">
        <f t="shared" si="12"/>
        <v/>
      </c>
      <c r="D176" s="1" t="str">
        <f t="shared" si="13"/>
        <v/>
      </c>
      <c r="E176" s="4">
        <v>0</v>
      </c>
      <c r="F176" s="1" t="str">
        <f t="shared" si="14"/>
        <v/>
      </c>
      <c r="G176" s="1" t="str">
        <f t="shared" si="10"/>
        <v/>
      </c>
      <c r="H176" s="1" t="str">
        <f t="shared" si="11"/>
        <v/>
      </c>
    </row>
    <row r="177" spans="2:8" ht="18" x14ac:dyDescent="0.35">
      <c r="B177" s="2"/>
      <c r="C177" s="5" t="str">
        <f t="shared" si="12"/>
        <v/>
      </c>
      <c r="D177" s="1" t="str">
        <f t="shared" si="13"/>
        <v/>
      </c>
      <c r="E177" s="4">
        <v>0</v>
      </c>
      <c r="F177" s="1" t="str">
        <f t="shared" si="14"/>
        <v/>
      </c>
      <c r="G177" s="1" t="str">
        <f t="shared" si="10"/>
        <v/>
      </c>
      <c r="H177" s="1" t="str">
        <f t="shared" si="11"/>
        <v/>
      </c>
    </row>
    <row r="178" spans="2:8" ht="18" x14ac:dyDescent="0.35">
      <c r="B178" s="2"/>
      <c r="C178" s="5" t="str">
        <f t="shared" si="12"/>
        <v/>
      </c>
      <c r="D178" s="1" t="str">
        <f t="shared" si="13"/>
        <v/>
      </c>
      <c r="E178" s="4">
        <v>0</v>
      </c>
      <c r="F178" s="1" t="str">
        <f t="shared" si="14"/>
        <v/>
      </c>
      <c r="G178" s="1" t="str">
        <f t="shared" si="10"/>
        <v/>
      </c>
      <c r="H178" s="1" t="str">
        <f t="shared" si="11"/>
        <v/>
      </c>
    </row>
    <row r="179" spans="2:8" ht="18" x14ac:dyDescent="0.35">
      <c r="B179" s="2"/>
      <c r="C179" s="5" t="str">
        <f t="shared" si="12"/>
        <v/>
      </c>
      <c r="D179" s="1" t="str">
        <f t="shared" si="13"/>
        <v/>
      </c>
      <c r="E179" s="4">
        <v>0</v>
      </c>
      <c r="F179" s="1" t="str">
        <f t="shared" si="14"/>
        <v/>
      </c>
      <c r="G179" s="1" t="str">
        <f t="shared" si="10"/>
        <v/>
      </c>
      <c r="H179" s="1" t="str">
        <f t="shared" si="11"/>
        <v/>
      </c>
    </row>
    <row r="180" spans="2:8" ht="18" x14ac:dyDescent="0.35">
      <c r="B180" s="2"/>
      <c r="C180" s="5" t="str">
        <f t="shared" si="12"/>
        <v/>
      </c>
      <c r="D180" s="1" t="str">
        <f t="shared" si="13"/>
        <v/>
      </c>
      <c r="E180" s="4">
        <v>0</v>
      </c>
      <c r="F180" s="1" t="str">
        <f t="shared" si="14"/>
        <v/>
      </c>
      <c r="G180" s="1" t="str">
        <f t="shared" si="10"/>
        <v/>
      </c>
      <c r="H180" s="1" t="str">
        <f t="shared" si="11"/>
        <v/>
      </c>
    </row>
    <row r="181" spans="2:8" ht="18" x14ac:dyDescent="0.35">
      <c r="B181" s="2"/>
      <c r="C181" s="5" t="str">
        <f t="shared" si="12"/>
        <v/>
      </c>
      <c r="D181" s="1" t="str">
        <f t="shared" si="13"/>
        <v/>
      </c>
      <c r="E181" s="4">
        <v>0</v>
      </c>
      <c r="F181" s="1" t="str">
        <f t="shared" si="14"/>
        <v/>
      </c>
      <c r="G181" s="1" t="str">
        <f t="shared" si="10"/>
        <v/>
      </c>
      <c r="H181" s="1" t="str">
        <f t="shared" si="11"/>
        <v/>
      </c>
    </row>
    <row r="182" spans="2:8" ht="18" x14ac:dyDescent="0.35">
      <c r="B182" s="2"/>
      <c r="C182" s="5" t="str">
        <f t="shared" si="12"/>
        <v/>
      </c>
      <c r="D182" s="1" t="str">
        <f t="shared" si="13"/>
        <v/>
      </c>
      <c r="E182" s="4">
        <v>0</v>
      </c>
      <c r="F182" s="1" t="str">
        <f t="shared" si="14"/>
        <v/>
      </c>
      <c r="G182" s="1" t="str">
        <f t="shared" si="10"/>
        <v/>
      </c>
      <c r="H182" s="1" t="str">
        <f t="shared" si="11"/>
        <v/>
      </c>
    </row>
    <row r="183" spans="2:8" ht="18" x14ac:dyDescent="0.35">
      <c r="B183" s="2"/>
      <c r="C183" s="5" t="str">
        <f t="shared" si="12"/>
        <v/>
      </c>
      <c r="D183" s="1" t="str">
        <f t="shared" si="13"/>
        <v/>
      </c>
      <c r="E183" s="4">
        <v>0</v>
      </c>
      <c r="F183" s="1" t="str">
        <f t="shared" si="14"/>
        <v/>
      </c>
      <c r="G183" s="1" t="str">
        <f t="shared" si="10"/>
        <v/>
      </c>
      <c r="H183" s="1" t="str">
        <f t="shared" si="11"/>
        <v/>
      </c>
    </row>
    <row r="184" spans="2:8" ht="18" x14ac:dyDescent="0.35">
      <c r="B184" s="2"/>
      <c r="C184" s="5" t="str">
        <f t="shared" si="12"/>
        <v/>
      </c>
      <c r="D184" s="1" t="str">
        <f t="shared" si="13"/>
        <v/>
      </c>
      <c r="E184" s="4">
        <v>0</v>
      </c>
      <c r="F184" s="1" t="str">
        <f t="shared" si="14"/>
        <v/>
      </c>
      <c r="G184" s="1" t="str">
        <f t="shared" si="10"/>
        <v/>
      </c>
      <c r="H184" s="1" t="str">
        <f t="shared" si="11"/>
        <v/>
      </c>
    </row>
    <row r="185" spans="2:8" ht="18" x14ac:dyDescent="0.35">
      <c r="B185" s="2"/>
      <c r="C185" s="5" t="str">
        <f t="shared" si="12"/>
        <v/>
      </c>
      <c r="D185" s="1" t="str">
        <f t="shared" si="13"/>
        <v/>
      </c>
      <c r="E185" s="4">
        <v>0</v>
      </c>
      <c r="F185" s="1" t="str">
        <f t="shared" si="14"/>
        <v/>
      </c>
      <c r="G185" s="1" t="str">
        <f t="shared" si="10"/>
        <v/>
      </c>
      <c r="H185" s="1" t="str">
        <f t="shared" si="11"/>
        <v/>
      </c>
    </row>
    <row r="186" spans="2:8" ht="18" x14ac:dyDescent="0.35">
      <c r="B186" s="2"/>
      <c r="C186" s="5" t="str">
        <f t="shared" si="12"/>
        <v/>
      </c>
      <c r="D186" s="1" t="str">
        <f t="shared" si="13"/>
        <v/>
      </c>
      <c r="E186" s="4">
        <v>0</v>
      </c>
      <c r="F186" s="1" t="str">
        <f t="shared" si="14"/>
        <v/>
      </c>
      <c r="G186" s="1" t="str">
        <f t="shared" si="10"/>
        <v/>
      </c>
      <c r="H186" s="1" t="str">
        <f t="shared" si="11"/>
        <v/>
      </c>
    </row>
    <row r="187" spans="2:8" ht="18" x14ac:dyDescent="0.35">
      <c r="B187" s="2"/>
      <c r="C187" s="5" t="str">
        <f t="shared" si="12"/>
        <v/>
      </c>
      <c r="D187" s="1" t="str">
        <f t="shared" si="13"/>
        <v/>
      </c>
      <c r="E187" s="4">
        <v>0</v>
      </c>
      <c r="F187" s="1" t="str">
        <f t="shared" si="14"/>
        <v/>
      </c>
      <c r="G187" s="1" t="str">
        <f t="shared" si="10"/>
        <v/>
      </c>
      <c r="H187" s="1" t="str">
        <f t="shared" si="11"/>
        <v/>
      </c>
    </row>
    <row r="188" spans="2:8" ht="18" x14ac:dyDescent="0.35">
      <c r="B188" s="2"/>
      <c r="C188" s="5" t="str">
        <f t="shared" si="12"/>
        <v/>
      </c>
      <c r="D188" s="1" t="str">
        <f t="shared" si="13"/>
        <v/>
      </c>
      <c r="E188" s="4">
        <v>0</v>
      </c>
      <c r="F188" s="1" t="str">
        <f t="shared" si="14"/>
        <v/>
      </c>
      <c r="G188" s="1" t="str">
        <f t="shared" si="10"/>
        <v/>
      </c>
      <c r="H188" s="1" t="str">
        <f t="shared" si="11"/>
        <v/>
      </c>
    </row>
    <row r="189" spans="2:8" ht="18" x14ac:dyDescent="0.35">
      <c r="B189" s="2"/>
      <c r="C189" s="5" t="str">
        <f t="shared" si="12"/>
        <v/>
      </c>
      <c r="D189" s="1" t="str">
        <f t="shared" si="13"/>
        <v/>
      </c>
      <c r="E189" s="4">
        <v>0</v>
      </c>
      <c r="F189" s="1" t="str">
        <f t="shared" si="14"/>
        <v/>
      </c>
      <c r="G189" s="1" t="str">
        <f t="shared" si="10"/>
        <v/>
      </c>
      <c r="H189" s="1" t="str">
        <f t="shared" si="11"/>
        <v/>
      </c>
    </row>
    <row r="190" spans="2:8" ht="18" x14ac:dyDescent="0.35">
      <c r="B190" s="2"/>
      <c r="C190" s="5" t="str">
        <f t="shared" si="12"/>
        <v/>
      </c>
      <c r="D190" s="1" t="str">
        <f t="shared" si="13"/>
        <v/>
      </c>
      <c r="E190" s="4">
        <v>0</v>
      </c>
      <c r="F190" s="1" t="str">
        <f t="shared" si="14"/>
        <v/>
      </c>
      <c r="G190" s="1" t="str">
        <f t="shared" si="10"/>
        <v/>
      </c>
      <c r="H190" s="1" t="str">
        <f t="shared" si="11"/>
        <v/>
      </c>
    </row>
    <row r="191" spans="2:8" ht="18" x14ac:dyDescent="0.35">
      <c r="B191" s="2"/>
      <c r="C191" s="5" t="str">
        <f t="shared" si="12"/>
        <v/>
      </c>
      <c r="D191" s="1" t="str">
        <f t="shared" si="13"/>
        <v/>
      </c>
      <c r="E191" s="4">
        <v>0</v>
      </c>
      <c r="F191" s="1" t="str">
        <f t="shared" si="14"/>
        <v/>
      </c>
      <c r="G191" s="1" t="str">
        <f t="shared" si="10"/>
        <v/>
      </c>
      <c r="H191" s="1" t="str">
        <f t="shared" si="11"/>
        <v/>
      </c>
    </row>
    <row r="192" spans="2:8" ht="18" x14ac:dyDescent="0.35">
      <c r="B192" s="2"/>
      <c r="C192" s="5" t="str">
        <f t="shared" si="12"/>
        <v/>
      </c>
      <c r="D192" s="1" t="str">
        <f t="shared" si="13"/>
        <v/>
      </c>
      <c r="E192" s="4">
        <v>0</v>
      </c>
      <c r="F192" s="1" t="str">
        <f t="shared" si="14"/>
        <v/>
      </c>
      <c r="G192" s="1" t="str">
        <f t="shared" si="10"/>
        <v/>
      </c>
      <c r="H192" s="1" t="str">
        <f t="shared" si="11"/>
        <v/>
      </c>
    </row>
    <row r="193" spans="2:8" ht="18" x14ac:dyDescent="0.35">
      <c r="B193" s="2"/>
      <c r="C193" s="5" t="str">
        <f t="shared" si="12"/>
        <v/>
      </c>
      <c r="D193" s="1" t="str">
        <f t="shared" si="13"/>
        <v/>
      </c>
      <c r="E193" s="4">
        <v>0</v>
      </c>
      <c r="F193" s="1" t="str">
        <f t="shared" si="14"/>
        <v/>
      </c>
      <c r="G193" s="1" t="str">
        <f t="shared" si="10"/>
        <v/>
      </c>
      <c r="H193" s="1" t="str">
        <f t="shared" si="11"/>
        <v/>
      </c>
    </row>
    <row r="194" spans="2:8" ht="18" x14ac:dyDescent="0.35">
      <c r="B194" s="2"/>
      <c r="C194" s="5" t="str">
        <f t="shared" si="12"/>
        <v/>
      </c>
      <c r="D194" s="1" t="str">
        <f t="shared" si="13"/>
        <v/>
      </c>
      <c r="E194" s="4">
        <v>0</v>
      </c>
      <c r="F194" s="1" t="str">
        <f t="shared" si="14"/>
        <v/>
      </c>
      <c r="G194" s="1" t="str">
        <f t="shared" si="10"/>
        <v/>
      </c>
      <c r="H194" s="1" t="str">
        <f t="shared" si="11"/>
        <v/>
      </c>
    </row>
    <row r="195" spans="2:8" ht="18" x14ac:dyDescent="0.35">
      <c r="B195" s="2"/>
      <c r="C195" s="5" t="str">
        <f t="shared" si="12"/>
        <v/>
      </c>
      <c r="D195" s="1" t="str">
        <f t="shared" si="13"/>
        <v/>
      </c>
      <c r="E195" s="4">
        <v>0</v>
      </c>
      <c r="F195" s="1" t="str">
        <f t="shared" si="14"/>
        <v/>
      </c>
      <c r="G195" s="1" t="str">
        <f t="shared" si="10"/>
        <v/>
      </c>
      <c r="H195" s="1" t="str">
        <f t="shared" si="11"/>
        <v/>
      </c>
    </row>
    <row r="196" spans="2:8" ht="18" x14ac:dyDescent="0.35">
      <c r="B196" s="2"/>
      <c r="C196" s="5" t="str">
        <f t="shared" si="12"/>
        <v/>
      </c>
      <c r="D196" s="1" t="str">
        <f t="shared" si="13"/>
        <v/>
      </c>
      <c r="E196" s="4">
        <v>0</v>
      </c>
      <c r="F196" s="1" t="str">
        <f t="shared" si="14"/>
        <v/>
      </c>
      <c r="G196" s="1" t="str">
        <f t="shared" si="10"/>
        <v/>
      </c>
      <c r="H196" s="1" t="str">
        <f t="shared" si="11"/>
        <v/>
      </c>
    </row>
    <row r="197" spans="2:8" ht="18" x14ac:dyDescent="0.35">
      <c r="B197" s="2"/>
      <c r="C197" s="5" t="str">
        <f t="shared" si="12"/>
        <v/>
      </c>
      <c r="D197" s="1" t="str">
        <f t="shared" si="13"/>
        <v/>
      </c>
      <c r="E197" s="4">
        <v>0</v>
      </c>
      <c r="F197" s="1" t="str">
        <f t="shared" si="14"/>
        <v/>
      </c>
      <c r="G197" s="1" t="str">
        <f t="shared" si="10"/>
        <v/>
      </c>
      <c r="H197" s="1" t="str">
        <f t="shared" si="11"/>
        <v/>
      </c>
    </row>
    <row r="198" spans="2:8" ht="18" x14ac:dyDescent="0.35">
      <c r="B198" s="2"/>
      <c r="C198" s="5" t="str">
        <f t="shared" si="12"/>
        <v/>
      </c>
      <c r="D198" s="1" t="str">
        <f t="shared" si="13"/>
        <v/>
      </c>
      <c r="E198" s="4">
        <v>0</v>
      </c>
      <c r="F198" s="1" t="str">
        <f t="shared" si="14"/>
        <v/>
      </c>
      <c r="G198" s="1" t="str">
        <f t="shared" si="10"/>
        <v/>
      </c>
      <c r="H198" s="1" t="str">
        <f t="shared" si="11"/>
        <v/>
      </c>
    </row>
    <row r="199" spans="2:8" ht="18" x14ac:dyDescent="0.35">
      <c r="B199" s="2"/>
      <c r="C199" s="5" t="str">
        <f t="shared" si="12"/>
        <v/>
      </c>
      <c r="D199" s="1" t="str">
        <f t="shared" si="13"/>
        <v/>
      </c>
      <c r="E199" s="4">
        <v>0</v>
      </c>
      <c r="F199" s="1" t="str">
        <f t="shared" si="14"/>
        <v/>
      </c>
      <c r="G199" s="1" t="str">
        <f t="shared" si="10"/>
        <v/>
      </c>
      <c r="H199" s="1" t="str">
        <f t="shared" si="11"/>
        <v/>
      </c>
    </row>
    <row r="200" spans="2:8" ht="18" x14ac:dyDescent="0.35">
      <c r="B200" s="2"/>
      <c r="C200" s="5" t="str">
        <f t="shared" si="12"/>
        <v/>
      </c>
      <c r="D200" s="1" t="str">
        <f t="shared" si="13"/>
        <v/>
      </c>
      <c r="E200" s="4">
        <v>0</v>
      </c>
      <c r="F200" s="1" t="str">
        <f t="shared" si="14"/>
        <v/>
      </c>
      <c r="G200" s="1" t="str">
        <f t="shared" si="10"/>
        <v/>
      </c>
      <c r="H200" s="1" t="str">
        <f t="shared" si="11"/>
        <v/>
      </c>
    </row>
    <row r="201" spans="2:8" ht="18" x14ac:dyDescent="0.35">
      <c r="B201" s="2"/>
      <c r="C201" s="5" t="str">
        <f t="shared" si="12"/>
        <v/>
      </c>
      <c r="D201" s="1" t="str">
        <f t="shared" si="13"/>
        <v/>
      </c>
      <c r="E201" s="4">
        <v>0</v>
      </c>
      <c r="F201" s="1" t="str">
        <f t="shared" si="14"/>
        <v/>
      </c>
      <c r="G201" s="1" t="str">
        <f t="shared" si="10"/>
        <v/>
      </c>
      <c r="H201" s="1" t="str">
        <f t="shared" si="11"/>
        <v/>
      </c>
    </row>
    <row r="202" spans="2:8" ht="18" x14ac:dyDescent="0.35">
      <c r="B202" s="2"/>
      <c r="C202" s="5" t="str">
        <f t="shared" si="12"/>
        <v/>
      </c>
      <c r="D202" s="1" t="str">
        <f t="shared" si="13"/>
        <v/>
      </c>
      <c r="E202" s="4">
        <v>0</v>
      </c>
      <c r="F202" s="1" t="str">
        <f t="shared" si="14"/>
        <v/>
      </c>
      <c r="G202" s="1" t="str">
        <f t="shared" si="10"/>
        <v/>
      </c>
      <c r="H202" s="1" t="str">
        <f t="shared" si="11"/>
        <v/>
      </c>
    </row>
    <row r="203" spans="2:8" ht="18" x14ac:dyDescent="0.35">
      <c r="B203" s="2"/>
      <c r="C203" s="5" t="str">
        <f t="shared" si="12"/>
        <v/>
      </c>
      <c r="D203" s="1" t="str">
        <f t="shared" si="13"/>
        <v/>
      </c>
      <c r="E203" s="4">
        <v>0</v>
      </c>
      <c r="F203" s="1" t="str">
        <f t="shared" si="14"/>
        <v/>
      </c>
      <c r="G203" s="1" t="str">
        <f t="shared" si="10"/>
        <v/>
      </c>
      <c r="H203" s="1" t="str">
        <f t="shared" si="11"/>
        <v/>
      </c>
    </row>
    <row r="204" spans="2:8" ht="18" x14ac:dyDescent="0.35">
      <c r="B204" s="2"/>
      <c r="C204" s="5" t="str">
        <f t="shared" si="12"/>
        <v/>
      </c>
      <c r="D204" s="1" t="str">
        <f t="shared" si="13"/>
        <v/>
      </c>
      <c r="E204" s="4">
        <v>0</v>
      </c>
      <c r="F204" s="1" t="str">
        <f t="shared" si="14"/>
        <v/>
      </c>
      <c r="G204" s="1" t="str">
        <f t="shared" si="10"/>
        <v/>
      </c>
      <c r="H204" s="1" t="str">
        <f t="shared" si="11"/>
        <v/>
      </c>
    </row>
    <row r="205" spans="2:8" ht="18" x14ac:dyDescent="0.35">
      <c r="B205" s="2"/>
      <c r="C205" s="5" t="str">
        <f t="shared" si="12"/>
        <v/>
      </c>
      <c r="D205" s="1" t="str">
        <f t="shared" si="13"/>
        <v/>
      </c>
      <c r="E205" s="4">
        <v>0</v>
      </c>
      <c r="F205" s="1" t="str">
        <f t="shared" si="14"/>
        <v/>
      </c>
      <c r="G205" s="1" t="str">
        <f t="shared" si="10"/>
        <v/>
      </c>
      <c r="H205" s="1" t="str">
        <f t="shared" si="11"/>
        <v/>
      </c>
    </row>
    <row r="206" spans="2:8" ht="18" x14ac:dyDescent="0.35">
      <c r="B206" s="2"/>
      <c r="C206" s="5" t="str">
        <f t="shared" si="12"/>
        <v/>
      </c>
      <c r="D206" s="1" t="str">
        <f t="shared" si="13"/>
        <v/>
      </c>
      <c r="E206" s="4">
        <v>0</v>
      </c>
      <c r="F206" s="1" t="str">
        <f t="shared" si="14"/>
        <v/>
      </c>
      <c r="G206" s="1" t="str">
        <f t="shared" si="10"/>
        <v/>
      </c>
      <c r="H206" s="1" t="str">
        <f t="shared" si="11"/>
        <v/>
      </c>
    </row>
    <row r="207" spans="2:8" ht="18" x14ac:dyDescent="0.35">
      <c r="B207" s="2"/>
      <c r="C207" s="5" t="str">
        <f t="shared" si="12"/>
        <v/>
      </c>
      <c r="D207" s="1" t="str">
        <f t="shared" si="13"/>
        <v/>
      </c>
      <c r="E207" s="4">
        <v>0</v>
      </c>
      <c r="F207" s="1" t="str">
        <f t="shared" si="14"/>
        <v/>
      </c>
      <c r="G207" s="1" t="str">
        <f t="shared" si="10"/>
        <v/>
      </c>
      <c r="H207" s="1" t="str">
        <f t="shared" si="11"/>
        <v/>
      </c>
    </row>
    <row r="208" spans="2:8" ht="18" x14ac:dyDescent="0.35">
      <c r="B208" s="2"/>
      <c r="C208" s="5" t="str">
        <f t="shared" si="12"/>
        <v/>
      </c>
      <c r="D208" s="1" t="str">
        <f t="shared" si="13"/>
        <v/>
      </c>
      <c r="E208" s="4">
        <v>0</v>
      </c>
      <c r="F208" s="1" t="str">
        <f t="shared" si="14"/>
        <v/>
      </c>
      <c r="G208" s="1" t="str">
        <f t="shared" si="10"/>
        <v/>
      </c>
      <c r="H208" s="1" t="str">
        <f t="shared" si="11"/>
        <v/>
      </c>
    </row>
    <row r="209" spans="2:8" ht="18" x14ac:dyDescent="0.35">
      <c r="B209" s="2"/>
      <c r="C209" s="5" t="str">
        <f t="shared" si="12"/>
        <v/>
      </c>
      <c r="D209" s="1" t="str">
        <f t="shared" si="13"/>
        <v/>
      </c>
      <c r="E209" s="4">
        <v>0</v>
      </c>
      <c r="F209" s="1" t="str">
        <f t="shared" si="14"/>
        <v/>
      </c>
      <c r="G209" s="1" t="str">
        <f t="shared" si="10"/>
        <v/>
      </c>
      <c r="H209" s="1" t="str">
        <f t="shared" si="11"/>
        <v/>
      </c>
    </row>
    <row r="210" spans="2:8" ht="18" x14ac:dyDescent="0.35">
      <c r="B210" s="2"/>
      <c r="C210" s="5" t="str">
        <f t="shared" si="12"/>
        <v/>
      </c>
      <c r="D210" s="1" t="str">
        <f t="shared" si="13"/>
        <v/>
      </c>
      <c r="E210" s="4">
        <v>0</v>
      </c>
      <c r="F210" s="1" t="str">
        <f t="shared" si="14"/>
        <v/>
      </c>
      <c r="G210" s="1" t="str">
        <f t="shared" si="10"/>
        <v/>
      </c>
      <c r="H210" s="1" t="str">
        <f t="shared" si="11"/>
        <v/>
      </c>
    </row>
    <row r="211" spans="2:8" ht="18" x14ac:dyDescent="0.35">
      <c r="B211" s="2"/>
      <c r="C211" s="5" t="str">
        <f t="shared" si="12"/>
        <v/>
      </c>
      <c r="D211" s="1" t="str">
        <f t="shared" si="13"/>
        <v/>
      </c>
      <c r="E211" s="4">
        <v>0</v>
      </c>
      <c r="F211" s="1" t="str">
        <f t="shared" si="14"/>
        <v/>
      </c>
      <c r="G211" s="1" t="str">
        <f t="shared" si="10"/>
        <v/>
      </c>
      <c r="H211" s="1" t="str">
        <f t="shared" si="11"/>
        <v/>
      </c>
    </row>
    <row r="212" spans="2:8" ht="18" x14ac:dyDescent="0.35">
      <c r="B212" s="2"/>
      <c r="C212" s="5" t="str">
        <f t="shared" si="12"/>
        <v/>
      </c>
      <c r="D212" s="1" t="str">
        <f t="shared" si="13"/>
        <v/>
      </c>
      <c r="E212" s="4">
        <v>0</v>
      </c>
      <c r="F212" s="1" t="str">
        <f t="shared" si="14"/>
        <v/>
      </c>
      <c r="G212" s="1" t="str">
        <f t="shared" si="10"/>
        <v/>
      </c>
      <c r="H212" s="1" t="str">
        <f t="shared" si="11"/>
        <v/>
      </c>
    </row>
    <row r="213" spans="2:8" ht="18" x14ac:dyDescent="0.35">
      <c r="B213" s="2"/>
      <c r="C213" s="5" t="str">
        <f t="shared" si="12"/>
        <v/>
      </c>
      <c r="D213" s="1" t="str">
        <f t="shared" si="13"/>
        <v/>
      </c>
      <c r="E213" s="4">
        <v>0</v>
      </c>
      <c r="F213" s="1" t="str">
        <f t="shared" si="14"/>
        <v/>
      </c>
      <c r="G213" s="1" t="str">
        <f t="shared" si="10"/>
        <v/>
      </c>
      <c r="H213" s="1" t="str">
        <f t="shared" si="11"/>
        <v/>
      </c>
    </row>
    <row r="214" spans="2:8" ht="18" x14ac:dyDescent="0.35">
      <c r="B214" s="2"/>
      <c r="C214" s="5" t="str">
        <f t="shared" si="12"/>
        <v/>
      </c>
      <c r="D214" s="1" t="str">
        <f t="shared" si="13"/>
        <v/>
      </c>
      <c r="E214" s="4">
        <v>0</v>
      </c>
      <c r="F214" s="1" t="str">
        <f t="shared" si="14"/>
        <v/>
      </c>
      <c r="G214" s="1" t="str">
        <f t="shared" ref="G214:G277" si="15">IF(B214="","",D214+E214)</f>
        <v/>
      </c>
      <c r="H214" s="1" t="str">
        <f t="shared" ref="H214:H277" si="16">IF(B214="","",H213-G214-E214)</f>
        <v/>
      </c>
    </row>
    <row r="215" spans="2:8" ht="18" x14ac:dyDescent="0.35">
      <c r="B215" s="2"/>
      <c r="C215" s="5" t="str">
        <f t="shared" ref="C215:C278" si="17">IF(H214=0,"",IF(B215="","",EOMONTH(C214,0)+1))</f>
        <v/>
      </c>
      <c r="D215" s="1" t="str">
        <f t="shared" ref="D215:D278" si="18">IF(H214&lt;$D$15,H214,IF(B215="","",MIN(H214+F215,$D$15)))</f>
        <v/>
      </c>
      <c r="E215" s="4">
        <v>0</v>
      </c>
      <c r="F215" s="1" t="str">
        <f t="shared" ref="F215:F278" si="19">IF(H214=0,"",IF(B215="","",$H$20*$H$8))</f>
        <v/>
      </c>
      <c r="G215" s="1" t="str">
        <f t="shared" si="15"/>
        <v/>
      </c>
      <c r="H215" s="1" t="str">
        <f t="shared" si="16"/>
        <v/>
      </c>
    </row>
    <row r="216" spans="2:8" ht="18" x14ac:dyDescent="0.35">
      <c r="B216" s="2"/>
      <c r="C216" s="5" t="str">
        <f t="shared" si="17"/>
        <v/>
      </c>
      <c r="D216" s="1" t="str">
        <f t="shared" si="18"/>
        <v/>
      </c>
      <c r="E216" s="4">
        <v>0</v>
      </c>
      <c r="F216" s="1" t="str">
        <f t="shared" si="19"/>
        <v/>
      </c>
      <c r="G216" s="1" t="str">
        <f t="shared" si="15"/>
        <v/>
      </c>
      <c r="H216" s="1" t="str">
        <f t="shared" si="16"/>
        <v/>
      </c>
    </row>
    <row r="217" spans="2:8" ht="18" x14ac:dyDescent="0.35">
      <c r="B217" s="2"/>
      <c r="C217" s="5" t="str">
        <f t="shared" si="17"/>
        <v/>
      </c>
      <c r="D217" s="1" t="str">
        <f t="shared" si="18"/>
        <v/>
      </c>
      <c r="E217" s="4">
        <v>0</v>
      </c>
      <c r="F217" s="1" t="str">
        <f t="shared" si="19"/>
        <v/>
      </c>
      <c r="G217" s="1" t="str">
        <f t="shared" si="15"/>
        <v/>
      </c>
      <c r="H217" s="1" t="str">
        <f t="shared" si="16"/>
        <v/>
      </c>
    </row>
    <row r="218" spans="2:8" ht="18" x14ac:dyDescent="0.35">
      <c r="B218" s="2"/>
      <c r="C218" s="5" t="str">
        <f t="shared" si="17"/>
        <v/>
      </c>
      <c r="D218" s="1" t="str">
        <f t="shared" si="18"/>
        <v/>
      </c>
      <c r="E218" s="4">
        <v>0</v>
      </c>
      <c r="F218" s="1" t="str">
        <f t="shared" si="19"/>
        <v/>
      </c>
      <c r="G218" s="1" t="str">
        <f t="shared" si="15"/>
        <v/>
      </c>
      <c r="H218" s="1" t="str">
        <f t="shared" si="16"/>
        <v/>
      </c>
    </row>
    <row r="219" spans="2:8" ht="18" x14ac:dyDescent="0.35">
      <c r="B219" s="2"/>
      <c r="C219" s="5" t="str">
        <f t="shared" si="17"/>
        <v/>
      </c>
      <c r="D219" s="1" t="str">
        <f t="shared" si="18"/>
        <v/>
      </c>
      <c r="E219" s="4">
        <v>0</v>
      </c>
      <c r="F219" s="1" t="str">
        <f t="shared" si="19"/>
        <v/>
      </c>
      <c r="G219" s="1" t="str">
        <f t="shared" si="15"/>
        <v/>
      </c>
      <c r="H219" s="1" t="str">
        <f t="shared" si="16"/>
        <v/>
      </c>
    </row>
    <row r="220" spans="2:8" ht="18" x14ac:dyDescent="0.35">
      <c r="B220" s="2"/>
      <c r="C220" s="5" t="str">
        <f t="shared" si="17"/>
        <v/>
      </c>
      <c r="D220" s="1" t="str">
        <f t="shared" si="18"/>
        <v/>
      </c>
      <c r="E220" s="4">
        <v>0</v>
      </c>
      <c r="F220" s="1" t="str">
        <f t="shared" si="19"/>
        <v/>
      </c>
      <c r="G220" s="1" t="str">
        <f t="shared" si="15"/>
        <v/>
      </c>
      <c r="H220" s="1" t="str">
        <f t="shared" si="16"/>
        <v/>
      </c>
    </row>
    <row r="221" spans="2:8" ht="18" x14ac:dyDescent="0.35">
      <c r="B221" s="2"/>
      <c r="C221" s="5" t="str">
        <f t="shared" si="17"/>
        <v/>
      </c>
      <c r="D221" s="1" t="str">
        <f t="shared" si="18"/>
        <v/>
      </c>
      <c r="E221" s="4">
        <v>0</v>
      </c>
      <c r="F221" s="1" t="str">
        <f t="shared" si="19"/>
        <v/>
      </c>
      <c r="G221" s="1" t="str">
        <f t="shared" si="15"/>
        <v/>
      </c>
      <c r="H221" s="1" t="str">
        <f t="shared" si="16"/>
        <v/>
      </c>
    </row>
    <row r="222" spans="2:8" ht="18" x14ac:dyDescent="0.35">
      <c r="B222" s="2"/>
      <c r="C222" s="5" t="str">
        <f t="shared" si="17"/>
        <v/>
      </c>
      <c r="D222" s="1" t="str">
        <f t="shared" si="18"/>
        <v/>
      </c>
      <c r="E222" s="4">
        <v>0</v>
      </c>
      <c r="F222" s="1" t="str">
        <f t="shared" si="19"/>
        <v/>
      </c>
      <c r="G222" s="1" t="str">
        <f t="shared" si="15"/>
        <v/>
      </c>
      <c r="H222" s="1" t="str">
        <f t="shared" si="16"/>
        <v/>
      </c>
    </row>
    <row r="223" spans="2:8" ht="18" x14ac:dyDescent="0.35">
      <c r="B223" s="2"/>
      <c r="C223" s="5" t="str">
        <f t="shared" si="17"/>
        <v/>
      </c>
      <c r="D223" s="1" t="str">
        <f t="shared" si="18"/>
        <v/>
      </c>
      <c r="E223" s="4">
        <v>0</v>
      </c>
      <c r="F223" s="1" t="str">
        <f t="shared" si="19"/>
        <v/>
      </c>
      <c r="G223" s="1" t="str">
        <f t="shared" si="15"/>
        <v/>
      </c>
      <c r="H223" s="1" t="str">
        <f t="shared" si="16"/>
        <v/>
      </c>
    </row>
    <row r="224" spans="2:8" ht="18" x14ac:dyDescent="0.35">
      <c r="B224" s="2"/>
      <c r="C224" s="5" t="str">
        <f t="shared" si="17"/>
        <v/>
      </c>
      <c r="D224" s="1" t="str">
        <f t="shared" si="18"/>
        <v/>
      </c>
      <c r="E224" s="4">
        <v>0</v>
      </c>
      <c r="F224" s="1" t="str">
        <f t="shared" si="19"/>
        <v/>
      </c>
      <c r="G224" s="1" t="str">
        <f t="shared" si="15"/>
        <v/>
      </c>
      <c r="H224" s="1" t="str">
        <f t="shared" si="16"/>
        <v/>
      </c>
    </row>
    <row r="225" spans="2:8" ht="18" x14ac:dyDescent="0.35">
      <c r="B225" s="2"/>
      <c r="C225" s="5" t="str">
        <f t="shared" si="17"/>
        <v/>
      </c>
      <c r="D225" s="1" t="str">
        <f t="shared" si="18"/>
        <v/>
      </c>
      <c r="E225" s="4">
        <v>0</v>
      </c>
      <c r="F225" s="1" t="str">
        <f t="shared" si="19"/>
        <v/>
      </c>
      <c r="G225" s="1" t="str">
        <f t="shared" si="15"/>
        <v/>
      </c>
      <c r="H225" s="1" t="str">
        <f t="shared" si="16"/>
        <v/>
      </c>
    </row>
    <row r="226" spans="2:8" ht="18" x14ac:dyDescent="0.35">
      <c r="B226" s="2"/>
      <c r="C226" s="5" t="str">
        <f t="shared" si="17"/>
        <v/>
      </c>
      <c r="D226" s="1" t="str">
        <f t="shared" si="18"/>
        <v/>
      </c>
      <c r="E226" s="4">
        <v>0</v>
      </c>
      <c r="F226" s="1" t="str">
        <f t="shared" si="19"/>
        <v/>
      </c>
      <c r="G226" s="1" t="str">
        <f t="shared" si="15"/>
        <v/>
      </c>
      <c r="H226" s="1" t="str">
        <f t="shared" si="16"/>
        <v/>
      </c>
    </row>
    <row r="227" spans="2:8" ht="18" x14ac:dyDescent="0.35">
      <c r="B227" s="2"/>
      <c r="C227" s="5" t="str">
        <f t="shared" si="17"/>
        <v/>
      </c>
      <c r="D227" s="1" t="str">
        <f t="shared" si="18"/>
        <v/>
      </c>
      <c r="E227" s="4">
        <v>0</v>
      </c>
      <c r="F227" s="1" t="str">
        <f t="shared" si="19"/>
        <v/>
      </c>
      <c r="G227" s="1" t="str">
        <f t="shared" si="15"/>
        <v/>
      </c>
      <c r="H227" s="1" t="str">
        <f t="shared" si="16"/>
        <v/>
      </c>
    </row>
    <row r="228" spans="2:8" ht="18" x14ac:dyDescent="0.35">
      <c r="B228" s="2"/>
      <c r="C228" s="5" t="str">
        <f t="shared" si="17"/>
        <v/>
      </c>
      <c r="D228" s="1" t="str">
        <f t="shared" si="18"/>
        <v/>
      </c>
      <c r="E228" s="4">
        <v>0</v>
      </c>
      <c r="F228" s="1" t="str">
        <f t="shared" si="19"/>
        <v/>
      </c>
      <c r="G228" s="1" t="str">
        <f t="shared" si="15"/>
        <v/>
      </c>
      <c r="H228" s="1" t="str">
        <f t="shared" si="16"/>
        <v/>
      </c>
    </row>
    <row r="229" spans="2:8" ht="18" x14ac:dyDescent="0.35">
      <c r="B229" s="2"/>
      <c r="C229" s="5" t="str">
        <f t="shared" si="17"/>
        <v/>
      </c>
      <c r="D229" s="1" t="str">
        <f t="shared" si="18"/>
        <v/>
      </c>
      <c r="E229" s="4">
        <v>0</v>
      </c>
      <c r="F229" s="1" t="str">
        <f t="shared" si="19"/>
        <v/>
      </c>
      <c r="G229" s="1" t="str">
        <f t="shared" si="15"/>
        <v/>
      </c>
      <c r="H229" s="1" t="str">
        <f t="shared" si="16"/>
        <v/>
      </c>
    </row>
    <row r="230" spans="2:8" ht="18" x14ac:dyDescent="0.35">
      <c r="B230" s="2"/>
      <c r="C230" s="5" t="str">
        <f t="shared" si="17"/>
        <v/>
      </c>
      <c r="D230" s="1" t="str">
        <f t="shared" si="18"/>
        <v/>
      </c>
      <c r="E230" s="4">
        <v>0</v>
      </c>
      <c r="F230" s="1" t="str">
        <f t="shared" si="19"/>
        <v/>
      </c>
      <c r="G230" s="1" t="str">
        <f t="shared" si="15"/>
        <v/>
      </c>
      <c r="H230" s="1" t="str">
        <f t="shared" si="16"/>
        <v/>
      </c>
    </row>
    <row r="231" spans="2:8" ht="18" x14ac:dyDescent="0.35">
      <c r="B231" s="2"/>
      <c r="C231" s="5" t="str">
        <f t="shared" si="17"/>
        <v/>
      </c>
      <c r="D231" s="1" t="str">
        <f t="shared" si="18"/>
        <v/>
      </c>
      <c r="E231" s="4">
        <v>0</v>
      </c>
      <c r="F231" s="1" t="str">
        <f t="shared" si="19"/>
        <v/>
      </c>
      <c r="G231" s="1" t="str">
        <f t="shared" si="15"/>
        <v/>
      </c>
      <c r="H231" s="1" t="str">
        <f t="shared" si="16"/>
        <v/>
      </c>
    </row>
    <row r="232" spans="2:8" ht="18" x14ac:dyDescent="0.35">
      <c r="B232" s="2"/>
      <c r="C232" s="5" t="str">
        <f t="shared" si="17"/>
        <v/>
      </c>
      <c r="D232" s="1" t="str">
        <f t="shared" si="18"/>
        <v/>
      </c>
      <c r="E232" s="4">
        <v>0</v>
      </c>
      <c r="F232" s="1" t="str">
        <f t="shared" si="19"/>
        <v/>
      </c>
      <c r="G232" s="1" t="str">
        <f t="shared" si="15"/>
        <v/>
      </c>
      <c r="H232" s="1" t="str">
        <f t="shared" si="16"/>
        <v/>
      </c>
    </row>
    <row r="233" spans="2:8" ht="18" x14ac:dyDescent="0.35">
      <c r="B233" s="2"/>
      <c r="C233" s="5" t="str">
        <f t="shared" si="17"/>
        <v/>
      </c>
      <c r="D233" s="1" t="str">
        <f t="shared" si="18"/>
        <v/>
      </c>
      <c r="E233" s="4">
        <v>0</v>
      </c>
      <c r="F233" s="1" t="str">
        <f t="shared" si="19"/>
        <v/>
      </c>
      <c r="G233" s="1" t="str">
        <f t="shared" si="15"/>
        <v/>
      </c>
      <c r="H233" s="1" t="str">
        <f t="shared" si="16"/>
        <v/>
      </c>
    </row>
    <row r="234" spans="2:8" ht="18" x14ac:dyDescent="0.35">
      <c r="B234" s="2"/>
      <c r="C234" s="5" t="str">
        <f t="shared" si="17"/>
        <v/>
      </c>
      <c r="D234" s="1" t="str">
        <f t="shared" si="18"/>
        <v/>
      </c>
      <c r="E234" s="4">
        <v>0</v>
      </c>
      <c r="F234" s="1" t="str">
        <f t="shared" si="19"/>
        <v/>
      </c>
      <c r="G234" s="1" t="str">
        <f t="shared" si="15"/>
        <v/>
      </c>
      <c r="H234" s="1" t="str">
        <f t="shared" si="16"/>
        <v/>
      </c>
    </row>
    <row r="235" spans="2:8" ht="18" x14ac:dyDescent="0.35">
      <c r="B235" s="2"/>
      <c r="C235" s="5" t="str">
        <f t="shared" si="17"/>
        <v/>
      </c>
      <c r="D235" s="1" t="str">
        <f t="shared" si="18"/>
        <v/>
      </c>
      <c r="E235" s="4">
        <v>0</v>
      </c>
      <c r="F235" s="1" t="str">
        <f t="shared" si="19"/>
        <v/>
      </c>
      <c r="G235" s="1" t="str">
        <f t="shared" si="15"/>
        <v/>
      </c>
      <c r="H235" s="1" t="str">
        <f t="shared" si="16"/>
        <v/>
      </c>
    </row>
    <row r="236" spans="2:8" ht="18" x14ac:dyDescent="0.35">
      <c r="B236" s="2"/>
      <c r="C236" s="5" t="str">
        <f t="shared" si="17"/>
        <v/>
      </c>
      <c r="D236" s="1" t="str">
        <f t="shared" si="18"/>
        <v/>
      </c>
      <c r="E236" s="4">
        <v>0</v>
      </c>
      <c r="F236" s="1" t="str">
        <f t="shared" si="19"/>
        <v/>
      </c>
      <c r="G236" s="1" t="str">
        <f t="shared" si="15"/>
        <v/>
      </c>
      <c r="H236" s="1" t="str">
        <f t="shared" si="16"/>
        <v/>
      </c>
    </row>
    <row r="237" spans="2:8" ht="18" x14ac:dyDescent="0.35">
      <c r="B237" s="2"/>
      <c r="C237" s="5" t="str">
        <f t="shared" si="17"/>
        <v/>
      </c>
      <c r="D237" s="1" t="str">
        <f t="shared" si="18"/>
        <v/>
      </c>
      <c r="E237" s="4">
        <v>0</v>
      </c>
      <c r="F237" s="1" t="str">
        <f t="shared" si="19"/>
        <v/>
      </c>
      <c r="G237" s="1" t="str">
        <f t="shared" si="15"/>
        <v/>
      </c>
      <c r="H237" s="1" t="str">
        <f t="shared" si="16"/>
        <v/>
      </c>
    </row>
    <row r="238" spans="2:8" ht="18" x14ac:dyDescent="0.35">
      <c r="B238" s="2"/>
      <c r="C238" s="5" t="str">
        <f t="shared" si="17"/>
        <v/>
      </c>
      <c r="D238" s="1" t="str">
        <f t="shared" si="18"/>
        <v/>
      </c>
      <c r="E238" s="4">
        <v>0</v>
      </c>
      <c r="F238" s="1" t="str">
        <f t="shared" si="19"/>
        <v/>
      </c>
      <c r="G238" s="1" t="str">
        <f t="shared" si="15"/>
        <v/>
      </c>
      <c r="H238" s="1" t="str">
        <f t="shared" si="16"/>
        <v/>
      </c>
    </row>
    <row r="239" spans="2:8" ht="18" x14ac:dyDescent="0.35">
      <c r="B239" s="2"/>
      <c r="C239" s="5" t="str">
        <f t="shared" si="17"/>
        <v/>
      </c>
      <c r="D239" s="1" t="str">
        <f t="shared" si="18"/>
        <v/>
      </c>
      <c r="E239" s="4">
        <v>0</v>
      </c>
      <c r="F239" s="1" t="str">
        <f t="shared" si="19"/>
        <v/>
      </c>
      <c r="G239" s="1" t="str">
        <f t="shared" si="15"/>
        <v/>
      </c>
      <c r="H239" s="1" t="str">
        <f t="shared" si="16"/>
        <v/>
      </c>
    </row>
    <row r="240" spans="2:8" ht="18" x14ac:dyDescent="0.35">
      <c r="B240" s="2"/>
      <c r="C240" s="5" t="str">
        <f t="shared" si="17"/>
        <v/>
      </c>
      <c r="D240" s="1" t="str">
        <f t="shared" si="18"/>
        <v/>
      </c>
      <c r="E240" s="4">
        <v>0</v>
      </c>
      <c r="F240" s="1" t="str">
        <f t="shared" si="19"/>
        <v/>
      </c>
      <c r="G240" s="1" t="str">
        <f t="shared" si="15"/>
        <v/>
      </c>
      <c r="H240" s="1" t="str">
        <f t="shared" si="16"/>
        <v/>
      </c>
    </row>
    <row r="241" spans="2:8" ht="18" x14ac:dyDescent="0.35">
      <c r="B241" s="2"/>
      <c r="C241" s="5" t="str">
        <f t="shared" si="17"/>
        <v/>
      </c>
      <c r="D241" s="1" t="str">
        <f t="shared" si="18"/>
        <v/>
      </c>
      <c r="E241" s="4">
        <v>0</v>
      </c>
      <c r="F241" s="1" t="str">
        <f t="shared" si="19"/>
        <v/>
      </c>
      <c r="G241" s="1" t="str">
        <f t="shared" si="15"/>
        <v/>
      </c>
      <c r="H241" s="1" t="str">
        <f t="shared" si="16"/>
        <v/>
      </c>
    </row>
    <row r="242" spans="2:8" ht="18" x14ac:dyDescent="0.35">
      <c r="B242" s="2"/>
      <c r="C242" s="5" t="str">
        <f t="shared" si="17"/>
        <v/>
      </c>
      <c r="D242" s="1" t="str">
        <f t="shared" si="18"/>
        <v/>
      </c>
      <c r="E242" s="4">
        <v>0</v>
      </c>
      <c r="F242" s="1" t="str">
        <f t="shared" si="19"/>
        <v/>
      </c>
      <c r="G242" s="1" t="str">
        <f t="shared" si="15"/>
        <v/>
      </c>
      <c r="H242" s="1" t="str">
        <f t="shared" si="16"/>
        <v/>
      </c>
    </row>
    <row r="243" spans="2:8" ht="18" x14ac:dyDescent="0.35">
      <c r="B243" s="2"/>
      <c r="C243" s="5" t="str">
        <f t="shared" si="17"/>
        <v/>
      </c>
      <c r="D243" s="1" t="str">
        <f t="shared" si="18"/>
        <v/>
      </c>
      <c r="E243" s="4">
        <v>0</v>
      </c>
      <c r="F243" s="1" t="str">
        <f t="shared" si="19"/>
        <v/>
      </c>
      <c r="G243" s="1" t="str">
        <f t="shared" si="15"/>
        <v/>
      </c>
      <c r="H243" s="1" t="str">
        <f t="shared" si="16"/>
        <v/>
      </c>
    </row>
    <row r="244" spans="2:8" ht="18" x14ac:dyDescent="0.35">
      <c r="B244" s="2"/>
      <c r="C244" s="5" t="str">
        <f t="shared" si="17"/>
        <v/>
      </c>
      <c r="D244" s="1" t="str">
        <f t="shared" si="18"/>
        <v/>
      </c>
      <c r="E244" s="4">
        <v>0</v>
      </c>
      <c r="F244" s="1" t="str">
        <f t="shared" si="19"/>
        <v/>
      </c>
      <c r="G244" s="1" t="str">
        <f t="shared" si="15"/>
        <v/>
      </c>
      <c r="H244" s="1" t="str">
        <f t="shared" si="16"/>
        <v/>
      </c>
    </row>
    <row r="245" spans="2:8" ht="18" x14ac:dyDescent="0.35">
      <c r="B245" s="2"/>
      <c r="C245" s="5" t="str">
        <f t="shared" si="17"/>
        <v/>
      </c>
      <c r="D245" s="1" t="str">
        <f t="shared" si="18"/>
        <v/>
      </c>
      <c r="E245" s="4">
        <v>0</v>
      </c>
      <c r="F245" s="1" t="str">
        <f t="shared" si="19"/>
        <v/>
      </c>
      <c r="G245" s="1" t="str">
        <f t="shared" si="15"/>
        <v/>
      </c>
      <c r="H245" s="1" t="str">
        <f t="shared" si="16"/>
        <v/>
      </c>
    </row>
    <row r="246" spans="2:8" ht="18" x14ac:dyDescent="0.35">
      <c r="B246" s="2"/>
      <c r="C246" s="5" t="str">
        <f t="shared" si="17"/>
        <v/>
      </c>
      <c r="D246" s="1" t="str">
        <f t="shared" si="18"/>
        <v/>
      </c>
      <c r="E246" s="4">
        <v>0</v>
      </c>
      <c r="F246" s="1" t="str">
        <f t="shared" si="19"/>
        <v/>
      </c>
      <c r="G246" s="1" t="str">
        <f t="shared" si="15"/>
        <v/>
      </c>
      <c r="H246" s="1" t="str">
        <f t="shared" si="16"/>
        <v/>
      </c>
    </row>
    <row r="247" spans="2:8" ht="18" x14ac:dyDescent="0.35">
      <c r="B247" s="2"/>
      <c r="C247" s="5" t="str">
        <f t="shared" si="17"/>
        <v/>
      </c>
      <c r="D247" s="1" t="str">
        <f t="shared" si="18"/>
        <v/>
      </c>
      <c r="E247" s="4">
        <v>0</v>
      </c>
      <c r="F247" s="1" t="str">
        <f t="shared" si="19"/>
        <v/>
      </c>
      <c r="G247" s="1" t="str">
        <f t="shared" si="15"/>
        <v/>
      </c>
      <c r="H247" s="1" t="str">
        <f t="shared" si="16"/>
        <v/>
      </c>
    </row>
    <row r="248" spans="2:8" ht="18" x14ac:dyDescent="0.35">
      <c r="B248" s="2"/>
      <c r="C248" s="5" t="str">
        <f t="shared" si="17"/>
        <v/>
      </c>
      <c r="D248" s="1" t="str">
        <f t="shared" si="18"/>
        <v/>
      </c>
      <c r="E248" s="4">
        <v>0</v>
      </c>
      <c r="F248" s="1" t="str">
        <f t="shared" si="19"/>
        <v/>
      </c>
      <c r="G248" s="1" t="str">
        <f t="shared" si="15"/>
        <v/>
      </c>
      <c r="H248" s="1" t="str">
        <f t="shared" si="16"/>
        <v/>
      </c>
    </row>
    <row r="249" spans="2:8" ht="18" x14ac:dyDescent="0.35">
      <c r="B249" s="2"/>
      <c r="C249" s="5" t="str">
        <f t="shared" si="17"/>
        <v/>
      </c>
      <c r="D249" s="1" t="str">
        <f t="shared" si="18"/>
        <v/>
      </c>
      <c r="E249" s="4">
        <v>0</v>
      </c>
      <c r="F249" s="1" t="str">
        <f t="shared" si="19"/>
        <v/>
      </c>
      <c r="G249" s="1" t="str">
        <f t="shared" si="15"/>
        <v/>
      </c>
      <c r="H249" s="1" t="str">
        <f t="shared" si="16"/>
        <v/>
      </c>
    </row>
    <row r="250" spans="2:8" ht="18" x14ac:dyDescent="0.35">
      <c r="B250" s="2"/>
      <c r="C250" s="5" t="str">
        <f t="shared" si="17"/>
        <v/>
      </c>
      <c r="D250" s="1" t="str">
        <f t="shared" si="18"/>
        <v/>
      </c>
      <c r="E250" s="4">
        <v>0</v>
      </c>
      <c r="F250" s="1" t="str">
        <f t="shared" si="19"/>
        <v/>
      </c>
      <c r="G250" s="1" t="str">
        <f t="shared" si="15"/>
        <v/>
      </c>
      <c r="H250" s="1" t="str">
        <f t="shared" si="16"/>
        <v/>
      </c>
    </row>
    <row r="251" spans="2:8" ht="18" x14ac:dyDescent="0.35">
      <c r="B251" s="2"/>
      <c r="C251" s="5" t="str">
        <f t="shared" si="17"/>
        <v/>
      </c>
      <c r="D251" s="1" t="str">
        <f t="shared" si="18"/>
        <v/>
      </c>
      <c r="E251" s="4">
        <v>0</v>
      </c>
      <c r="F251" s="1" t="str">
        <f t="shared" si="19"/>
        <v/>
      </c>
      <c r="G251" s="1" t="str">
        <f t="shared" si="15"/>
        <v/>
      </c>
      <c r="H251" s="1" t="str">
        <f t="shared" si="16"/>
        <v/>
      </c>
    </row>
    <row r="252" spans="2:8" ht="18" x14ac:dyDescent="0.35">
      <c r="B252" s="2"/>
      <c r="C252" s="5" t="str">
        <f t="shared" si="17"/>
        <v/>
      </c>
      <c r="D252" s="1" t="str">
        <f t="shared" si="18"/>
        <v/>
      </c>
      <c r="E252" s="4">
        <v>0</v>
      </c>
      <c r="F252" s="1" t="str">
        <f t="shared" si="19"/>
        <v/>
      </c>
      <c r="G252" s="1" t="str">
        <f t="shared" si="15"/>
        <v/>
      </c>
      <c r="H252" s="1" t="str">
        <f t="shared" si="16"/>
        <v/>
      </c>
    </row>
    <row r="253" spans="2:8" ht="18" x14ac:dyDescent="0.35">
      <c r="B253" s="2"/>
      <c r="C253" s="5" t="str">
        <f t="shared" si="17"/>
        <v/>
      </c>
      <c r="D253" s="1" t="str">
        <f t="shared" si="18"/>
        <v/>
      </c>
      <c r="E253" s="4">
        <v>0</v>
      </c>
      <c r="F253" s="1" t="str">
        <f t="shared" si="19"/>
        <v/>
      </c>
      <c r="G253" s="1" t="str">
        <f t="shared" si="15"/>
        <v/>
      </c>
      <c r="H253" s="1" t="str">
        <f t="shared" si="16"/>
        <v/>
      </c>
    </row>
    <row r="254" spans="2:8" ht="18" x14ac:dyDescent="0.35">
      <c r="B254" s="2"/>
      <c r="C254" s="5" t="str">
        <f t="shared" si="17"/>
        <v/>
      </c>
      <c r="D254" s="1" t="str">
        <f t="shared" si="18"/>
        <v/>
      </c>
      <c r="E254" s="4">
        <v>0</v>
      </c>
      <c r="F254" s="1" t="str">
        <f t="shared" si="19"/>
        <v/>
      </c>
      <c r="G254" s="1" t="str">
        <f t="shared" si="15"/>
        <v/>
      </c>
      <c r="H254" s="1" t="str">
        <f t="shared" si="16"/>
        <v/>
      </c>
    </row>
    <row r="255" spans="2:8" ht="18" x14ac:dyDescent="0.35">
      <c r="B255" s="2"/>
      <c r="C255" s="5" t="str">
        <f t="shared" si="17"/>
        <v/>
      </c>
      <c r="D255" s="1" t="str">
        <f t="shared" si="18"/>
        <v/>
      </c>
      <c r="E255" s="4">
        <v>0</v>
      </c>
      <c r="F255" s="1" t="str">
        <f t="shared" si="19"/>
        <v/>
      </c>
      <c r="G255" s="1" t="str">
        <f t="shared" si="15"/>
        <v/>
      </c>
      <c r="H255" s="1" t="str">
        <f t="shared" si="16"/>
        <v/>
      </c>
    </row>
    <row r="256" spans="2:8" ht="18" x14ac:dyDescent="0.35">
      <c r="B256" s="2"/>
      <c r="C256" s="5" t="str">
        <f t="shared" si="17"/>
        <v/>
      </c>
      <c r="D256" s="1" t="str">
        <f t="shared" si="18"/>
        <v/>
      </c>
      <c r="E256" s="4">
        <v>0</v>
      </c>
      <c r="F256" s="1" t="str">
        <f t="shared" si="19"/>
        <v/>
      </c>
      <c r="G256" s="1" t="str">
        <f t="shared" si="15"/>
        <v/>
      </c>
      <c r="H256" s="1" t="str">
        <f t="shared" si="16"/>
        <v/>
      </c>
    </row>
    <row r="257" spans="2:8" ht="18" x14ac:dyDescent="0.35">
      <c r="B257" s="2"/>
      <c r="C257" s="5" t="str">
        <f t="shared" si="17"/>
        <v/>
      </c>
      <c r="D257" s="1" t="str">
        <f t="shared" si="18"/>
        <v/>
      </c>
      <c r="E257" s="4">
        <v>0</v>
      </c>
      <c r="F257" s="1" t="str">
        <f t="shared" si="19"/>
        <v/>
      </c>
      <c r="G257" s="1" t="str">
        <f t="shared" si="15"/>
        <v/>
      </c>
      <c r="H257" s="1" t="str">
        <f t="shared" si="16"/>
        <v/>
      </c>
    </row>
    <row r="258" spans="2:8" ht="18" x14ac:dyDescent="0.35">
      <c r="B258" s="2"/>
      <c r="C258" s="5" t="str">
        <f t="shared" si="17"/>
        <v/>
      </c>
      <c r="D258" s="1" t="str">
        <f t="shared" si="18"/>
        <v/>
      </c>
      <c r="E258" s="4">
        <v>0</v>
      </c>
      <c r="F258" s="1" t="str">
        <f t="shared" si="19"/>
        <v/>
      </c>
      <c r="G258" s="1" t="str">
        <f t="shared" si="15"/>
        <v/>
      </c>
      <c r="H258" s="1" t="str">
        <f t="shared" si="16"/>
        <v/>
      </c>
    </row>
    <row r="259" spans="2:8" ht="18" x14ac:dyDescent="0.35">
      <c r="B259" s="2"/>
      <c r="C259" s="5" t="str">
        <f t="shared" si="17"/>
        <v/>
      </c>
      <c r="D259" s="1" t="str">
        <f t="shared" si="18"/>
        <v/>
      </c>
      <c r="E259" s="4">
        <v>0</v>
      </c>
      <c r="F259" s="1" t="str">
        <f t="shared" si="19"/>
        <v/>
      </c>
      <c r="G259" s="1" t="str">
        <f t="shared" si="15"/>
        <v/>
      </c>
      <c r="H259" s="1" t="str">
        <f t="shared" si="16"/>
        <v/>
      </c>
    </row>
    <row r="260" spans="2:8" ht="18" x14ac:dyDescent="0.35">
      <c r="B260" s="2"/>
      <c r="C260" s="5" t="str">
        <f t="shared" si="17"/>
        <v/>
      </c>
      <c r="D260" s="1" t="str">
        <f t="shared" si="18"/>
        <v/>
      </c>
      <c r="E260" s="4">
        <v>0</v>
      </c>
      <c r="F260" s="1" t="str">
        <f t="shared" si="19"/>
        <v/>
      </c>
      <c r="G260" s="1" t="str">
        <f t="shared" si="15"/>
        <v/>
      </c>
      <c r="H260" s="1" t="str">
        <f t="shared" si="16"/>
        <v/>
      </c>
    </row>
    <row r="261" spans="2:8" ht="18" x14ac:dyDescent="0.35">
      <c r="B261" s="2"/>
      <c r="C261" s="5" t="str">
        <f t="shared" si="17"/>
        <v/>
      </c>
      <c r="D261" s="1" t="str">
        <f t="shared" si="18"/>
        <v/>
      </c>
      <c r="E261" s="4">
        <v>0</v>
      </c>
      <c r="F261" s="1" t="str">
        <f t="shared" si="19"/>
        <v/>
      </c>
      <c r="G261" s="1" t="str">
        <f t="shared" si="15"/>
        <v/>
      </c>
      <c r="H261" s="1" t="str">
        <f t="shared" si="16"/>
        <v/>
      </c>
    </row>
    <row r="262" spans="2:8" ht="18" x14ac:dyDescent="0.35">
      <c r="B262" s="2"/>
      <c r="C262" s="5" t="str">
        <f t="shared" si="17"/>
        <v/>
      </c>
      <c r="D262" s="1" t="str">
        <f t="shared" si="18"/>
        <v/>
      </c>
      <c r="E262" s="4">
        <v>0</v>
      </c>
      <c r="F262" s="1" t="str">
        <f t="shared" si="19"/>
        <v/>
      </c>
      <c r="G262" s="1" t="str">
        <f t="shared" si="15"/>
        <v/>
      </c>
      <c r="H262" s="1" t="str">
        <f t="shared" si="16"/>
        <v/>
      </c>
    </row>
    <row r="263" spans="2:8" ht="18" x14ac:dyDescent="0.35">
      <c r="B263" s="2"/>
      <c r="C263" s="5" t="str">
        <f t="shared" si="17"/>
        <v/>
      </c>
      <c r="D263" s="1" t="str">
        <f t="shared" si="18"/>
        <v/>
      </c>
      <c r="E263" s="4">
        <v>0</v>
      </c>
      <c r="F263" s="1" t="str">
        <f t="shared" si="19"/>
        <v/>
      </c>
      <c r="G263" s="1" t="str">
        <f t="shared" si="15"/>
        <v/>
      </c>
      <c r="H263" s="1" t="str">
        <f t="shared" si="16"/>
        <v/>
      </c>
    </row>
    <row r="264" spans="2:8" ht="18" x14ac:dyDescent="0.35">
      <c r="B264" s="2"/>
      <c r="C264" s="5" t="str">
        <f t="shared" si="17"/>
        <v/>
      </c>
      <c r="D264" s="1" t="str">
        <f t="shared" si="18"/>
        <v/>
      </c>
      <c r="E264" s="4">
        <v>0</v>
      </c>
      <c r="F264" s="1" t="str">
        <f t="shared" si="19"/>
        <v/>
      </c>
      <c r="G264" s="1" t="str">
        <f t="shared" si="15"/>
        <v/>
      </c>
      <c r="H264" s="1" t="str">
        <f t="shared" si="16"/>
        <v/>
      </c>
    </row>
    <row r="265" spans="2:8" ht="18" x14ac:dyDescent="0.35">
      <c r="B265" s="2"/>
      <c r="C265" s="5" t="str">
        <f t="shared" si="17"/>
        <v/>
      </c>
      <c r="D265" s="1" t="str">
        <f t="shared" si="18"/>
        <v/>
      </c>
      <c r="E265" s="4">
        <v>0</v>
      </c>
      <c r="F265" s="1" t="str">
        <f t="shared" si="19"/>
        <v/>
      </c>
      <c r="G265" s="1" t="str">
        <f t="shared" si="15"/>
        <v/>
      </c>
      <c r="H265" s="1" t="str">
        <f t="shared" si="16"/>
        <v/>
      </c>
    </row>
    <row r="266" spans="2:8" ht="18" x14ac:dyDescent="0.35">
      <c r="B266" s="2"/>
      <c r="C266" s="5" t="str">
        <f t="shared" si="17"/>
        <v/>
      </c>
      <c r="D266" s="1" t="str">
        <f t="shared" si="18"/>
        <v/>
      </c>
      <c r="E266" s="4">
        <v>0</v>
      </c>
      <c r="F266" s="1" t="str">
        <f t="shared" si="19"/>
        <v/>
      </c>
      <c r="G266" s="1" t="str">
        <f t="shared" si="15"/>
        <v/>
      </c>
      <c r="H266" s="1" t="str">
        <f t="shared" si="16"/>
        <v/>
      </c>
    </row>
    <row r="267" spans="2:8" ht="18" x14ac:dyDescent="0.35">
      <c r="B267" s="2"/>
      <c r="C267" s="5" t="str">
        <f t="shared" si="17"/>
        <v/>
      </c>
      <c r="D267" s="1" t="str">
        <f t="shared" si="18"/>
        <v/>
      </c>
      <c r="E267" s="4">
        <v>0</v>
      </c>
      <c r="F267" s="1" t="str">
        <f t="shared" si="19"/>
        <v/>
      </c>
      <c r="G267" s="1" t="str">
        <f t="shared" si="15"/>
        <v/>
      </c>
      <c r="H267" s="1" t="str">
        <f t="shared" si="16"/>
        <v/>
      </c>
    </row>
    <row r="268" spans="2:8" ht="18" x14ac:dyDescent="0.35">
      <c r="B268" s="2"/>
      <c r="C268" s="5" t="str">
        <f t="shared" si="17"/>
        <v/>
      </c>
      <c r="D268" s="1" t="str">
        <f t="shared" si="18"/>
        <v/>
      </c>
      <c r="E268" s="4">
        <v>0</v>
      </c>
      <c r="F268" s="1" t="str">
        <f t="shared" si="19"/>
        <v/>
      </c>
      <c r="G268" s="1" t="str">
        <f t="shared" si="15"/>
        <v/>
      </c>
      <c r="H268" s="1" t="str">
        <f t="shared" si="16"/>
        <v/>
      </c>
    </row>
    <row r="269" spans="2:8" ht="18" x14ac:dyDescent="0.35">
      <c r="B269" s="2"/>
      <c r="C269" s="5" t="str">
        <f t="shared" si="17"/>
        <v/>
      </c>
      <c r="D269" s="1" t="str">
        <f t="shared" si="18"/>
        <v/>
      </c>
      <c r="E269" s="4">
        <v>0</v>
      </c>
      <c r="F269" s="1" t="str">
        <f t="shared" si="19"/>
        <v/>
      </c>
      <c r="G269" s="1" t="str">
        <f t="shared" si="15"/>
        <v/>
      </c>
      <c r="H269" s="1" t="str">
        <f t="shared" si="16"/>
        <v/>
      </c>
    </row>
    <row r="270" spans="2:8" ht="18" x14ac:dyDescent="0.35">
      <c r="B270" s="2"/>
      <c r="C270" s="5" t="str">
        <f t="shared" si="17"/>
        <v/>
      </c>
      <c r="D270" s="1" t="str">
        <f t="shared" si="18"/>
        <v/>
      </c>
      <c r="E270" s="4">
        <v>0</v>
      </c>
      <c r="F270" s="1" t="str">
        <f t="shared" si="19"/>
        <v/>
      </c>
      <c r="G270" s="1" t="str">
        <f t="shared" si="15"/>
        <v/>
      </c>
      <c r="H270" s="1" t="str">
        <f t="shared" si="16"/>
        <v/>
      </c>
    </row>
    <row r="271" spans="2:8" ht="18" x14ac:dyDescent="0.35">
      <c r="B271" s="2"/>
      <c r="C271" s="5" t="str">
        <f t="shared" si="17"/>
        <v/>
      </c>
      <c r="D271" s="1" t="str">
        <f t="shared" si="18"/>
        <v/>
      </c>
      <c r="E271" s="4">
        <v>0</v>
      </c>
      <c r="F271" s="1" t="str">
        <f t="shared" si="19"/>
        <v/>
      </c>
      <c r="G271" s="1" t="str">
        <f t="shared" si="15"/>
        <v/>
      </c>
      <c r="H271" s="1" t="str">
        <f t="shared" si="16"/>
        <v/>
      </c>
    </row>
    <row r="272" spans="2:8" ht="18" x14ac:dyDescent="0.35">
      <c r="B272" s="2"/>
      <c r="C272" s="5" t="str">
        <f t="shared" si="17"/>
        <v/>
      </c>
      <c r="D272" s="1" t="str">
        <f t="shared" si="18"/>
        <v/>
      </c>
      <c r="E272" s="4">
        <v>0</v>
      </c>
      <c r="F272" s="1" t="str">
        <f t="shared" si="19"/>
        <v/>
      </c>
      <c r="G272" s="1" t="str">
        <f t="shared" si="15"/>
        <v/>
      </c>
      <c r="H272" s="1" t="str">
        <f t="shared" si="16"/>
        <v/>
      </c>
    </row>
    <row r="273" spans="2:8" ht="18" x14ac:dyDescent="0.35">
      <c r="B273" s="2"/>
      <c r="C273" s="5" t="str">
        <f t="shared" si="17"/>
        <v/>
      </c>
      <c r="D273" s="1" t="str">
        <f t="shared" si="18"/>
        <v/>
      </c>
      <c r="E273" s="4">
        <v>0</v>
      </c>
      <c r="F273" s="1" t="str">
        <f t="shared" si="19"/>
        <v/>
      </c>
      <c r="G273" s="1" t="str">
        <f t="shared" si="15"/>
        <v/>
      </c>
      <c r="H273" s="1" t="str">
        <f t="shared" si="16"/>
        <v/>
      </c>
    </row>
    <row r="274" spans="2:8" ht="18" x14ac:dyDescent="0.35">
      <c r="B274" s="2"/>
      <c r="C274" s="5" t="str">
        <f t="shared" si="17"/>
        <v/>
      </c>
      <c r="D274" s="1" t="str">
        <f t="shared" si="18"/>
        <v/>
      </c>
      <c r="E274" s="4">
        <v>0</v>
      </c>
      <c r="F274" s="1" t="str">
        <f t="shared" si="19"/>
        <v/>
      </c>
      <c r="G274" s="1" t="str">
        <f t="shared" si="15"/>
        <v/>
      </c>
      <c r="H274" s="1" t="str">
        <f t="shared" si="16"/>
        <v/>
      </c>
    </row>
    <row r="275" spans="2:8" ht="18" x14ac:dyDescent="0.35">
      <c r="B275" s="2"/>
      <c r="C275" s="5" t="str">
        <f t="shared" si="17"/>
        <v/>
      </c>
      <c r="D275" s="1" t="str">
        <f t="shared" si="18"/>
        <v/>
      </c>
      <c r="E275" s="4">
        <v>0</v>
      </c>
      <c r="F275" s="1" t="str">
        <f t="shared" si="19"/>
        <v/>
      </c>
      <c r="G275" s="1" t="str">
        <f t="shared" si="15"/>
        <v/>
      </c>
      <c r="H275" s="1" t="str">
        <f t="shared" si="16"/>
        <v/>
      </c>
    </row>
    <row r="276" spans="2:8" ht="18" x14ac:dyDescent="0.35">
      <c r="B276" s="2"/>
      <c r="C276" s="5" t="str">
        <f t="shared" si="17"/>
        <v/>
      </c>
      <c r="D276" s="1" t="str">
        <f t="shared" si="18"/>
        <v/>
      </c>
      <c r="E276" s="4">
        <v>0</v>
      </c>
      <c r="F276" s="1" t="str">
        <f t="shared" si="19"/>
        <v/>
      </c>
      <c r="G276" s="1" t="str">
        <f t="shared" si="15"/>
        <v/>
      </c>
      <c r="H276" s="1" t="str">
        <f t="shared" si="16"/>
        <v/>
      </c>
    </row>
    <row r="277" spans="2:8" ht="18" x14ac:dyDescent="0.35">
      <c r="B277" s="2"/>
      <c r="C277" s="5" t="str">
        <f t="shared" si="17"/>
        <v/>
      </c>
      <c r="D277" s="1" t="str">
        <f t="shared" si="18"/>
        <v/>
      </c>
      <c r="E277" s="4">
        <v>0</v>
      </c>
      <c r="F277" s="1" t="str">
        <f t="shared" si="19"/>
        <v/>
      </c>
      <c r="G277" s="1" t="str">
        <f t="shared" si="15"/>
        <v/>
      </c>
      <c r="H277" s="1" t="str">
        <f t="shared" si="16"/>
        <v/>
      </c>
    </row>
    <row r="278" spans="2:8" ht="18" x14ac:dyDescent="0.35">
      <c r="B278" s="2"/>
      <c r="C278" s="5" t="str">
        <f t="shared" si="17"/>
        <v/>
      </c>
      <c r="D278" s="1" t="str">
        <f t="shared" si="18"/>
        <v/>
      </c>
      <c r="E278" s="4">
        <v>0</v>
      </c>
      <c r="F278" s="1" t="str">
        <f t="shared" si="19"/>
        <v/>
      </c>
      <c r="G278" s="1" t="str">
        <f t="shared" ref="G278:G341" si="20">IF(B278="","",D278+E278)</f>
        <v/>
      </c>
      <c r="H278" s="1" t="str">
        <f t="shared" ref="H278:H341" si="21">IF(B278="","",H277-G278-E278)</f>
        <v/>
      </c>
    </row>
    <row r="279" spans="2:8" ht="18" x14ac:dyDescent="0.35">
      <c r="B279" s="2"/>
      <c r="C279" s="5" t="str">
        <f t="shared" ref="C279:C342" si="22">IF(H278=0,"",IF(B279="","",EOMONTH(C278,0)+1))</f>
        <v/>
      </c>
      <c r="D279" s="1" t="str">
        <f t="shared" ref="D279:D342" si="23">IF(H278&lt;$D$15,H278,IF(B279="","",MIN(H278+F279,$D$15)))</f>
        <v/>
      </c>
      <c r="E279" s="4">
        <v>0</v>
      </c>
      <c r="F279" s="1" t="str">
        <f t="shared" ref="F279:F342" si="24">IF(H278=0,"",IF(B279="","",$H$20*$H$8))</f>
        <v/>
      </c>
      <c r="G279" s="1" t="str">
        <f t="shared" si="20"/>
        <v/>
      </c>
      <c r="H279" s="1" t="str">
        <f t="shared" si="21"/>
        <v/>
      </c>
    </row>
    <row r="280" spans="2:8" ht="18" x14ac:dyDescent="0.35">
      <c r="B280" s="2"/>
      <c r="C280" s="5" t="str">
        <f t="shared" si="22"/>
        <v/>
      </c>
      <c r="D280" s="1" t="str">
        <f t="shared" si="23"/>
        <v/>
      </c>
      <c r="E280" s="4">
        <v>0</v>
      </c>
      <c r="F280" s="1" t="str">
        <f t="shared" si="24"/>
        <v/>
      </c>
      <c r="G280" s="1" t="str">
        <f t="shared" si="20"/>
        <v/>
      </c>
      <c r="H280" s="1" t="str">
        <f t="shared" si="21"/>
        <v/>
      </c>
    </row>
    <row r="281" spans="2:8" ht="18" x14ac:dyDescent="0.35">
      <c r="B281" s="2"/>
      <c r="C281" s="5" t="str">
        <f t="shared" si="22"/>
        <v/>
      </c>
      <c r="D281" s="1" t="str">
        <f t="shared" si="23"/>
        <v/>
      </c>
      <c r="E281" s="4">
        <v>0</v>
      </c>
      <c r="F281" s="1" t="str">
        <f t="shared" si="24"/>
        <v/>
      </c>
      <c r="G281" s="1" t="str">
        <f t="shared" si="20"/>
        <v/>
      </c>
      <c r="H281" s="1" t="str">
        <f t="shared" si="21"/>
        <v/>
      </c>
    </row>
    <row r="282" spans="2:8" ht="18" x14ac:dyDescent="0.35">
      <c r="B282" s="2"/>
      <c r="C282" s="5" t="str">
        <f t="shared" si="22"/>
        <v/>
      </c>
      <c r="D282" s="1" t="str">
        <f t="shared" si="23"/>
        <v/>
      </c>
      <c r="E282" s="4">
        <v>0</v>
      </c>
      <c r="F282" s="1" t="str">
        <f t="shared" si="24"/>
        <v/>
      </c>
      <c r="G282" s="1" t="str">
        <f t="shared" si="20"/>
        <v/>
      </c>
      <c r="H282" s="1" t="str">
        <f t="shared" si="21"/>
        <v/>
      </c>
    </row>
    <row r="283" spans="2:8" ht="18" x14ac:dyDescent="0.35">
      <c r="B283" s="2"/>
      <c r="C283" s="5" t="str">
        <f t="shared" si="22"/>
        <v/>
      </c>
      <c r="D283" s="1" t="str">
        <f t="shared" si="23"/>
        <v/>
      </c>
      <c r="E283" s="4">
        <v>0</v>
      </c>
      <c r="F283" s="1" t="str">
        <f t="shared" si="24"/>
        <v/>
      </c>
      <c r="G283" s="1" t="str">
        <f t="shared" si="20"/>
        <v/>
      </c>
      <c r="H283" s="1" t="str">
        <f t="shared" si="21"/>
        <v/>
      </c>
    </row>
    <row r="284" spans="2:8" ht="18" x14ac:dyDescent="0.35">
      <c r="B284" s="2"/>
      <c r="C284" s="5" t="str">
        <f t="shared" si="22"/>
        <v/>
      </c>
      <c r="D284" s="1" t="str">
        <f t="shared" si="23"/>
        <v/>
      </c>
      <c r="E284" s="4">
        <v>0</v>
      </c>
      <c r="F284" s="1" t="str">
        <f t="shared" si="24"/>
        <v/>
      </c>
      <c r="G284" s="1" t="str">
        <f t="shared" si="20"/>
        <v/>
      </c>
      <c r="H284" s="1" t="str">
        <f t="shared" si="21"/>
        <v/>
      </c>
    </row>
    <row r="285" spans="2:8" ht="18" x14ac:dyDescent="0.35">
      <c r="B285" s="2"/>
      <c r="C285" s="5" t="str">
        <f t="shared" si="22"/>
        <v/>
      </c>
      <c r="D285" s="1" t="str">
        <f t="shared" si="23"/>
        <v/>
      </c>
      <c r="E285" s="4">
        <v>0</v>
      </c>
      <c r="F285" s="1" t="str">
        <f t="shared" si="24"/>
        <v/>
      </c>
      <c r="G285" s="1" t="str">
        <f t="shared" si="20"/>
        <v/>
      </c>
      <c r="H285" s="1" t="str">
        <f t="shared" si="21"/>
        <v/>
      </c>
    </row>
    <row r="286" spans="2:8" ht="18" x14ac:dyDescent="0.35">
      <c r="B286" s="2"/>
      <c r="C286" s="5" t="str">
        <f t="shared" si="22"/>
        <v/>
      </c>
      <c r="D286" s="1" t="str">
        <f t="shared" si="23"/>
        <v/>
      </c>
      <c r="E286" s="4">
        <v>0</v>
      </c>
      <c r="F286" s="1" t="str">
        <f t="shared" si="24"/>
        <v/>
      </c>
      <c r="G286" s="1" t="str">
        <f t="shared" si="20"/>
        <v/>
      </c>
      <c r="H286" s="1" t="str">
        <f t="shared" si="21"/>
        <v/>
      </c>
    </row>
    <row r="287" spans="2:8" ht="18" x14ac:dyDescent="0.35">
      <c r="B287" s="2"/>
      <c r="C287" s="5" t="str">
        <f t="shared" si="22"/>
        <v/>
      </c>
      <c r="D287" s="1" t="str">
        <f t="shared" si="23"/>
        <v/>
      </c>
      <c r="E287" s="4">
        <v>0</v>
      </c>
      <c r="F287" s="1" t="str">
        <f t="shared" si="24"/>
        <v/>
      </c>
      <c r="G287" s="1" t="str">
        <f t="shared" si="20"/>
        <v/>
      </c>
      <c r="H287" s="1" t="str">
        <f t="shared" si="21"/>
        <v/>
      </c>
    </row>
    <row r="288" spans="2:8" ht="18" x14ac:dyDescent="0.35">
      <c r="B288" s="2"/>
      <c r="C288" s="5" t="str">
        <f t="shared" si="22"/>
        <v/>
      </c>
      <c r="D288" s="1" t="str">
        <f t="shared" si="23"/>
        <v/>
      </c>
      <c r="E288" s="4">
        <v>0</v>
      </c>
      <c r="F288" s="1" t="str">
        <f t="shared" si="24"/>
        <v/>
      </c>
      <c r="G288" s="1" t="str">
        <f t="shared" si="20"/>
        <v/>
      </c>
      <c r="H288" s="1" t="str">
        <f t="shared" si="21"/>
        <v/>
      </c>
    </row>
    <row r="289" spans="2:8" ht="18" x14ac:dyDescent="0.35">
      <c r="B289" s="2"/>
      <c r="C289" s="5" t="str">
        <f t="shared" si="22"/>
        <v/>
      </c>
      <c r="D289" s="1" t="str">
        <f t="shared" si="23"/>
        <v/>
      </c>
      <c r="E289" s="4">
        <v>0</v>
      </c>
      <c r="F289" s="1" t="str">
        <f t="shared" si="24"/>
        <v/>
      </c>
      <c r="G289" s="1" t="str">
        <f t="shared" si="20"/>
        <v/>
      </c>
      <c r="H289" s="1" t="str">
        <f t="shared" si="21"/>
        <v/>
      </c>
    </row>
    <row r="290" spans="2:8" ht="18" x14ac:dyDescent="0.35">
      <c r="B290" s="2"/>
      <c r="C290" s="5" t="str">
        <f t="shared" si="22"/>
        <v/>
      </c>
      <c r="D290" s="1" t="str">
        <f t="shared" si="23"/>
        <v/>
      </c>
      <c r="E290" s="4">
        <v>0</v>
      </c>
      <c r="F290" s="1" t="str">
        <f t="shared" si="24"/>
        <v/>
      </c>
      <c r="G290" s="1" t="str">
        <f t="shared" si="20"/>
        <v/>
      </c>
      <c r="H290" s="1" t="str">
        <f t="shared" si="21"/>
        <v/>
      </c>
    </row>
    <row r="291" spans="2:8" ht="18" x14ac:dyDescent="0.35">
      <c r="B291" s="2"/>
      <c r="C291" s="5" t="str">
        <f t="shared" si="22"/>
        <v/>
      </c>
      <c r="D291" s="1" t="str">
        <f t="shared" si="23"/>
        <v/>
      </c>
      <c r="E291" s="4">
        <v>0</v>
      </c>
      <c r="F291" s="1" t="str">
        <f t="shared" si="24"/>
        <v/>
      </c>
      <c r="G291" s="1" t="str">
        <f t="shared" si="20"/>
        <v/>
      </c>
      <c r="H291" s="1" t="str">
        <f t="shared" si="21"/>
        <v/>
      </c>
    </row>
    <row r="292" spans="2:8" ht="18" x14ac:dyDescent="0.35">
      <c r="B292" s="2"/>
      <c r="C292" s="5" t="str">
        <f t="shared" si="22"/>
        <v/>
      </c>
      <c r="D292" s="1" t="str">
        <f t="shared" si="23"/>
        <v/>
      </c>
      <c r="E292" s="4">
        <v>0</v>
      </c>
      <c r="F292" s="1" t="str">
        <f t="shared" si="24"/>
        <v/>
      </c>
      <c r="G292" s="1" t="str">
        <f t="shared" si="20"/>
        <v/>
      </c>
      <c r="H292" s="1" t="str">
        <f t="shared" si="21"/>
        <v/>
      </c>
    </row>
    <row r="293" spans="2:8" ht="18" x14ac:dyDescent="0.35">
      <c r="B293" s="2"/>
      <c r="C293" s="5" t="str">
        <f t="shared" si="22"/>
        <v/>
      </c>
      <c r="D293" s="1" t="str">
        <f t="shared" si="23"/>
        <v/>
      </c>
      <c r="E293" s="4">
        <v>0</v>
      </c>
      <c r="F293" s="1" t="str">
        <f t="shared" si="24"/>
        <v/>
      </c>
      <c r="G293" s="1" t="str">
        <f t="shared" si="20"/>
        <v/>
      </c>
      <c r="H293" s="1" t="str">
        <f t="shared" si="21"/>
        <v/>
      </c>
    </row>
    <row r="294" spans="2:8" ht="18" x14ac:dyDescent="0.35">
      <c r="B294" s="2"/>
      <c r="C294" s="5" t="str">
        <f t="shared" si="22"/>
        <v/>
      </c>
      <c r="D294" s="1" t="str">
        <f t="shared" si="23"/>
        <v/>
      </c>
      <c r="E294" s="4">
        <v>0</v>
      </c>
      <c r="F294" s="1" t="str">
        <f t="shared" si="24"/>
        <v/>
      </c>
      <c r="G294" s="1" t="str">
        <f t="shared" si="20"/>
        <v/>
      </c>
      <c r="H294" s="1" t="str">
        <f t="shared" si="21"/>
        <v/>
      </c>
    </row>
    <row r="295" spans="2:8" ht="18" x14ac:dyDescent="0.35">
      <c r="B295" s="2"/>
      <c r="C295" s="5" t="str">
        <f t="shared" si="22"/>
        <v/>
      </c>
      <c r="D295" s="1" t="str">
        <f t="shared" si="23"/>
        <v/>
      </c>
      <c r="E295" s="4">
        <v>0</v>
      </c>
      <c r="F295" s="1" t="str">
        <f t="shared" si="24"/>
        <v/>
      </c>
      <c r="G295" s="1" t="str">
        <f t="shared" si="20"/>
        <v/>
      </c>
      <c r="H295" s="1" t="str">
        <f t="shared" si="21"/>
        <v/>
      </c>
    </row>
    <row r="296" spans="2:8" ht="18" x14ac:dyDescent="0.35">
      <c r="B296" s="2"/>
      <c r="C296" s="5" t="str">
        <f t="shared" si="22"/>
        <v/>
      </c>
      <c r="D296" s="1" t="str">
        <f t="shared" si="23"/>
        <v/>
      </c>
      <c r="E296" s="4">
        <v>0</v>
      </c>
      <c r="F296" s="1" t="str">
        <f t="shared" si="24"/>
        <v/>
      </c>
      <c r="G296" s="1" t="str">
        <f t="shared" si="20"/>
        <v/>
      </c>
      <c r="H296" s="1" t="str">
        <f t="shared" si="21"/>
        <v/>
      </c>
    </row>
    <row r="297" spans="2:8" ht="18" x14ac:dyDescent="0.35">
      <c r="B297" s="2"/>
      <c r="C297" s="5" t="str">
        <f t="shared" si="22"/>
        <v/>
      </c>
      <c r="D297" s="1" t="str">
        <f t="shared" si="23"/>
        <v/>
      </c>
      <c r="E297" s="4">
        <v>0</v>
      </c>
      <c r="F297" s="1" t="str">
        <f t="shared" si="24"/>
        <v/>
      </c>
      <c r="G297" s="1" t="str">
        <f t="shared" si="20"/>
        <v/>
      </c>
      <c r="H297" s="1" t="str">
        <f t="shared" si="21"/>
        <v/>
      </c>
    </row>
    <row r="298" spans="2:8" ht="18" x14ac:dyDescent="0.35">
      <c r="B298" s="2"/>
      <c r="C298" s="5" t="str">
        <f t="shared" si="22"/>
        <v/>
      </c>
      <c r="D298" s="1" t="str">
        <f t="shared" si="23"/>
        <v/>
      </c>
      <c r="E298" s="4">
        <v>0</v>
      </c>
      <c r="F298" s="1" t="str">
        <f t="shared" si="24"/>
        <v/>
      </c>
      <c r="G298" s="1" t="str">
        <f t="shared" si="20"/>
        <v/>
      </c>
      <c r="H298" s="1" t="str">
        <f t="shared" si="21"/>
        <v/>
      </c>
    </row>
    <row r="299" spans="2:8" ht="18" x14ac:dyDescent="0.35">
      <c r="B299" s="2"/>
      <c r="C299" s="5" t="str">
        <f t="shared" si="22"/>
        <v/>
      </c>
      <c r="D299" s="1" t="str">
        <f t="shared" si="23"/>
        <v/>
      </c>
      <c r="E299" s="4">
        <v>0</v>
      </c>
      <c r="F299" s="1" t="str">
        <f t="shared" si="24"/>
        <v/>
      </c>
      <c r="G299" s="1" t="str">
        <f t="shared" si="20"/>
        <v/>
      </c>
      <c r="H299" s="1" t="str">
        <f t="shared" si="21"/>
        <v/>
      </c>
    </row>
    <row r="300" spans="2:8" ht="18" x14ac:dyDescent="0.35">
      <c r="B300" s="2"/>
      <c r="C300" s="5" t="str">
        <f t="shared" si="22"/>
        <v/>
      </c>
      <c r="D300" s="1" t="str">
        <f t="shared" si="23"/>
        <v/>
      </c>
      <c r="E300" s="4">
        <v>0</v>
      </c>
      <c r="F300" s="1" t="str">
        <f t="shared" si="24"/>
        <v/>
      </c>
      <c r="G300" s="1" t="str">
        <f t="shared" si="20"/>
        <v/>
      </c>
      <c r="H300" s="1" t="str">
        <f t="shared" si="21"/>
        <v/>
      </c>
    </row>
    <row r="301" spans="2:8" ht="18" x14ac:dyDescent="0.35">
      <c r="B301" s="2"/>
      <c r="C301" s="5" t="str">
        <f t="shared" si="22"/>
        <v/>
      </c>
      <c r="D301" s="1" t="str">
        <f t="shared" si="23"/>
        <v/>
      </c>
      <c r="E301" s="4">
        <v>0</v>
      </c>
      <c r="F301" s="1" t="str">
        <f t="shared" si="24"/>
        <v/>
      </c>
      <c r="G301" s="1" t="str">
        <f t="shared" si="20"/>
        <v/>
      </c>
      <c r="H301" s="1" t="str">
        <f t="shared" si="21"/>
        <v/>
      </c>
    </row>
    <row r="302" spans="2:8" ht="18" x14ac:dyDescent="0.35">
      <c r="B302" s="2"/>
      <c r="C302" s="5" t="str">
        <f t="shared" si="22"/>
        <v/>
      </c>
      <c r="D302" s="1" t="str">
        <f t="shared" si="23"/>
        <v/>
      </c>
      <c r="E302" s="4">
        <v>0</v>
      </c>
      <c r="F302" s="1" t="str">
        <f t="shared" si="24"/>
        <v/>
      </c>
      <c r="G302" s="1" t="str">
        <f t="shared" si="20"/>
        <v/>
      </c>
      <c r="H302" s="1" t="str">
        <f t="shared" si="21"/>
        <v/>
      </c>
    </row>
    <row r="303" spans="2:8" ht="18" x14ac:dyDescent="0.35">
      <c r="B303" s="2"/>
      <c r="C303" s="5" t="str">
        <f t="shared" si="22"/>
        <v/>
      </c>
      <c r="D303" s="1" t="str">
        <f t="shared" si="23"/>
        <v/>
      </c>
      <c r="E303" s="4">
        <v>0</v>
      </c>
      <c r="F303" s="1" t="str">
        <f t="shared" si="24"/>
        <v/>
      </c>
      <c r="G303" s="1" t="str">
        <f t="shared" si="20"/>
        <v/>
      </c>
      <c r="H303" s="1" t="str">
        <f t="shared" si="21"/>
        <v/>
      </c>
    </row>
    <row r="304" spans="2:8" ht="18" x14ac:dyDescent="0.35">
      <c r="B304" s="2"/>
      <c r="C304" s="5" t="str">
        <f t="shared" si="22"/>
        <v/>
      </c>
      <c r="D304" s="1" t="str">
        <f t="shared" si="23"/>
        <v/>
      </c>
      <c r="E304" s="4">
        <v>0</v>
      </c>
      <c r="F304" s="1" t="str">
        <f t="shared" si="24"/>
        <v/>
      </c>
      <c r="G304" s="1" t="str">
        <f t="shared" si="20"/>
        <v/>
      </c>
      <c r="H304" s="1" t="str">
        <f t="shared" si="21"/>
        <v/>
      </c>
    </row>
    <row r="305" spans="2:8" ht="18" x14ac:dyDescent="0.35">
      <c r="B305" s="2"/>
      <c r="C305" s="5" t="str">
        <f t="shared" si="22"/>
        <v/>
      </c>
      <c r="D305" s="1" t="str">
        <f t="shared" si="23"/>
        <v/>
      </c>
      <c r="E305" s="4">
        <v>0</v>
      </c>
      <c r="F305" s="1" t="str">
        <f t="shared" si="24"/>
        <v/>
      </c>
      <c r="G305" s="1" t="str">
        <f t="shared" si="20"/>
        <v/>
      </c>
      <c r="H305" s="1" t="str">
        <f t="shared" si="21"/>
        <v/>
      </c>
    </row>
    <row r="306" spans="2:8" ht="18" x14ac:dyDescent="0.35">
      <c r="B306" s="2"/>
      <c r="C306" s="5" t="str">
        <f t="shared" si="22"/>
        <v/>
      </c>
      <c r="D306" s="1" t="str">
        <f t="shared" si="23"/>
        <v/>
      </c>
      <c r="E306" s="4">
        <v>0</v>
      </c>
      <c r="F306" s="1" t="str">
        <f t="shared" si="24"/>
        <v/>
      </c>
      <c r="G306" s="1" t="str">
        <f t="shared" si="20"/>
        <v/>
      </c>
      <c r="H306" s="1" t="str">
        <f t="shared" si="21"/>
        <v/>
      </c>
    </row>
    <row r="307" spans="2:8" ht="18" x14ac:dyDescent="0.35">
      <c r="B307" s="2"/>
      <c r="C307" s="5" t="str">
        <f t="shared" si="22"/>
        <v/>
      </c>
      <c r="D307" s="1" t="str">
        <f t="shared" si="23"/>
        <v/>
      </c>
      <c r="E307" s="4">
        <v>0</v>
      </c>
      <c r="F307" s="1" t="str">
        <f t="shared" si="24"/>
        <v/>
      </c>
      <c r="G307" s="1" t="str">
        <f t="shared" si="20"/>
        <v/>
      </c>
      <c r="H307" s="1" t="str">
        <f t="shared" si="21"/>
        <v/>
      </c>
    </row>
    <row r="308" spans="2:8" ht="18" x14ac:dyDescent="0.35">
      <c r="B308" s="2"/>
      <c r="C308" s="5" t="str">
        <f t="shared" si="22"/>
        <v/>
      </c>
      <c r="D308" s="1" t="str">
        <f t="shared" si="23"/>
        <v/>
      </c>
      <c r="E308" s="4">
        <v>0</v>
      </c>
      <c r="F308" s="1" t="str">
        <f t="shared" si="24"/>
        <v/>
      </c>
      <c r="G308" s="1" t="str">
        <f t="shared" si="20"/>
        <v/>
      </c>
      <c r="H308" s="1" t="str">
        <f t="shared" si="21"/>
        <v/>
      </c>
    </row>
    <row r="309" spans="2:8" ht="18" x14ac:dyDescent="0.35">
      <c r="B309" s="2"/>
      <c r="C309" s="5" t="str">
        <f t="shared" si="22"/>
        <v/>
      </c>
      <c r="D309" s="1" t="str">
        <f t="shared" si="23"/>
        <v/>
      </c>
      <c r="E309" s="4">
        <v>0</v>
      </c>
      <c r="F309" s="1" t="str">
        <f t="shared" si="24"/>
        <v/>
      </c>
      <c r="G309" s="1" t="str">
        <f t="shared" si="20"/>
        <v/>
      </c>
      <c r="H309" s="1" t="str">
        <f t="shared" si="21"/>
        <v/>
      </c>
    </row>
    <row r="310" spans="2:8" ht="18" x14ac:dyDescent="0.35">
      <c r="B310" s="2"/>
      <c r="C310" s="5" t="str">
        <f t="shared" si="22"/>
        <v/>
      </c>
      <c r="D310" s="1" t="str">
        <f t="shared" si="23"/>
        <v/>
      </c>
      <c r="E310" s="4">
        <v>0</v>
      </c>
      <c r="F310" s="1" t="str">
        <f t="shared" si="24"/>
        <v/>
      </c>
      <c r="G310" s="1" t="str">
        <f t="shared" si="20"/>
        <v/>
      </c>
      <c r="H310" s="1" t="str">
        <f t="shared" si="21"/>
        <v/>
      </c>
    </row>
    <row r="311" spans="2:8" ht="18" x14ac:dyDescent="0.35">
      <c r="B311" s="2"/>
      <c r="C311" s="5" t="str">
        <f t="shared" si="22"/>
        <v/>
      </c>
      <c r="D311" s="1" t="str">
        <f t="shared" si="23"/>
        <v/>
      </c>
      <c r="E311" s="4">
        <v>0</v>
      </c>
      <c r="F311" s="1" t="str">
        <f t="shared" si="24"/>
        <v/>
      </c>
      <c r="G311" s="1" t="str">
        <f t="shared" si="20"/>
        <v/>
      </c>
      <c r="H311" s="1" t="str">
        <f t="shared" si="21"/>
        <v/>
      </c>
    </row>
    <row r="312" spans="2:8" ht="18" x14ac:dyDescent="0.35">
      <c r="B312" s="2"/>
      <c r="C312" s="5" t="str">
        <f t="shared" si="22"/>
        <v/>
      </c>
      <c r="D312" s="1" t="str">
        <f t="shared" si="23"/>
        <v/>
      </c>
      <c r="E312" s="4">
        <v>0</v>
      </c>
      <c r="F312" s="1" t="str">
        <f t="shared" si="24"/>
        <v/>
      </c>
      <c r="G312" s="1" t="str">
        <f t="shared" si="20"/>
        <v/>
      </c>
      <c r="H312" s="1" t="str">
        <f t="shared" si="21"/>
        <v/>
      </c>
    </row>
    <row r="313" spans="2:8" ht="18" x14ac:dyDescent="0.35">
      <c r="B313" s="2"/>
      <c r="C313" s="5" t="str">
        <f t="shared" si="22"/>
        <v/>
      </c>
      <c r="D313" s="1" t="str">
        <f t="shared" si="23"/>
        <v/>
      </c>
      <c r="E313" s="4">
        <v>0</v>
      </c>
      <c r="F313" s="1" t="str">
        <f t="shared" si="24"/>
        <v/>
      </c>
      <c r="G313" s="1" t="str">
        <f t="shared" si="20"/>
        <v/>
      </c>
      <c r="H313" s="1" t="str">
        <f t="shared" si="21"/>
        <v/>
      </c>
    </row>
    <row r="314" spans="2:8" ht="18" x14ac:dyDescent="0.35">
      <c r="B314" s="2"/>
      <c r="C314" s="5" t="str">
        <f t="shared" si="22"/>
        <v/>
      </c>
      <c r="D314" s="1" t="str">
        <f t="shared" si="23"/>
        <v/>
      </c>
      <c r="E314" s="4">
        <v>0</v>
      </c>
      <c r="F314" s="1" t="str">
        <f t="shared" si="24"/>
        <v/>
      </c>
      <c r="G314" s="1" t="str">
        <f t="shared" si="20"/>
        <v/>
      </c>
      <c r="H314" s="1" t="str">
        <f t="shared" si="21"/>
        <v/>
      </c>
    </row>
    <row r="315" spans="2:8" ht="18" x14ac:dyDescent="0.35">
      <c r="B315" s="2"/>
      <c r="C315" s="5" t="str">
        <f t="shared" si="22"/>
        <v/>
      </c>
      <c r="D315" s="1" t="str">
        <f t="shared" si="23"/>
        <v/>
      </c>
      <c r="E315" s="4">
        <v>0</v>
      </c>
      <c r="F315" s="1" t="str">
        <f t="shared" si="24"/>
        <v/>
      </c>
      <c r="G315" s="1" t="str">
        <f t="shared" si="20"/>
        <v/>
      </c>
      <c r="H315" s="1" t="str">
        <f t="shared" si="21"/>
        <v/>
      </c>
    </row>
    <row r="316" spans="2:8" ht="18" x14ac:dyDescent="0.35">
      <c r="B316" s="2"/>
      <c r="C316" s="5" t="str">
        <f t="shared" si="22"/>
        <v/>
      </c>
      <c r="D316" s="1" t="str">
        <f t="shared" si="23"/>
        <v/>
      </c>
      <c r="E316" s="4">
        <v>0</v>
      </c>
      <c r="F316" s="1" t="str">
        <f t="shared" si="24"/>
        <v/>
      </c>
      <c r="G316" s="1" t="str">
        <f t="shared" si="20"/>
        <v/>
      </c>
      <c r="H316" s="1" t="str">
        <f t="shared" si="21"/>
        <v/>
      </c>
    </row>
    <row r="317" spans="2:8" ht="18" x14ac:dyDescent="0.35">
      <c r="B317" s="2"/>
      <c r="C317" s="5" t="str">
        <f t="shared" si="22"/>
        <v/>
      </c>
      <c r="D317" s="1" t="str">
        <f t="shared" si="23"/>
        <v/>
      </c>
      <c r="E317" s="4">
        <v>0</v>
      </c>
      <c r="F317" s="1" t="str">
        <f t="shared" si="24"/>
        <v/>
      </c>
      <c r="G317" s="1" t="str">
        <f t="shared" si="20"/>
        <v/>
      </c>
      <c r="H317" s="1" t="str">
        <f t="shared" si="21"/>
        <v/>
      </c>
    </row>
    <row r="318" spans="2:8" ht="18" x14ac:dyDescent="0.35">
      <c r="B318" s="2"/>
      <c r="C318" s="5" t="str">
        <f t="shared" si="22"/>
        <v/>
      </c>
      <c r="D318" s="1" t="str">
        <f t="shared" si="23"/>
        <v/>
      </c>
      <c r="E318" s="4">
        <v>0</v>
      </c>
      <c r="F318" s="1" t="str">
        <f t="shared" si="24"/>
        <v/>
      </c>
      <c r="G318" s="1" t="str">
        <f t="shared" si="20"/>
        <v/>
      </c>
      <c r="H318" s="1" t="str">
        <f t="shared" si="21"/>
        <v/>
      </c>
    </row>
    <row r="319" spans="2:8" ht="18" x14ac:dyDescent="0.35">
      <c r="B319" s="2"/>
      <c r="C319" s="5" t="str">
        <f t="shared" si="22"/>
        <v/>
      </c>
      <c r="D319" s="1" t="str">
        <f t="shared" si="23"/>
        <v/>
      </c>
      <c r="E319" s="4">
        <v>0</v>
      </c>
      <c r="F319" s="1" t="str">
        <f t="shared" si="24"/>
        <v/>
      </c>
      <c r="G319" s="1" t="str">
        <f t="shared" si="20"/>
        <v/>
      </c>
      <c r="H319" s="1" t="str">
        <f t="shared" si="21"/>
        <v/>
      </c>
    </row>
    <row r="320" spans="2:8" ht="18" x14ac:dyDescent="0.35">
      <c r="B320" s="2"/>
      <c r="C320" s="5" t="str">
        <f t="shared" si="22"/>
        <v/>
      </c>
      <c r="D320" s="1" t="str">
        <f t="shared" si="23"/>
        <v/>
      </c>
      <c r="E320" s="4">
        <v>0</v>
      </c>
      <c r="F320" s="1" t="str">
        <f t="shared" si="24"/>
        <v/>
      </c>
      <c r="G320" s="1" t="str">
        <f t="shared" si="20"/>
        <v/>
      </c>
      <c r="H320" s="1" t="str">
        <f t="shared" si="21"/>
        <v/>
      </c>
    </row>
    <row r="321" spans="2:8" ht="18" x14ac:dyDescent="0.35">
      <c r="B321" s="2"/>
      <c r="C321" s="5" t="str">
        <f t="shared" si="22"/>
        <v/>
      </c>
      <c r="D321" s="1" t="str">
        <f t="shared" si="23"/>
        <v/>
      </c>
      <c r="E321" s="4">
        <v>0</v>
      </c>
      <c r="F321" s="1" t="str">
        <f t="shared" si="24"/>
        <v/>
      </c>
      <c r="G321" s="1" t="str">
        <f t="shared" si="20"/>
        <v/>
      </c>
      <c r="H321" s="1" t="str">
        <f t="shared" si="21"/>
        <v/>
      </c>
    </row>
    <row r="322" spans="2:8" ht="18" x14ac:dyDescent="0.35">
      <c r="B322" s="2"/>
      <c r="C322" s="5" t="str">
        <f t="shared" si="22"/>
        <v/>
      </c>
      <c r="D322" s="1" t="str">
        <f t="shared" si="23"/>
        <v/>
      </c>
      <c r="E322" s="4">
        <v>0</v>
      </c>
      <c r="F322" s="1" t="str">
        <f t="shared" si="24"/>
        <v/>
      </c>
      <c r="G322" s="1" t="str">
        <f t="shared" si="20"/>
        <v/>
      </c>
      <c r="H322" s="1" t="str">
        <f t="shared" si="21"/>
        <v/>
      </c>
    </row>
    <row r="323" spans="2:8" ht="18" x14ac:dyDescent="0.35">
      <c r="B323" s="2"/>
      <c r="C323" s="5" t="str">
        <f t="shared" si="22"/>
        <v/>
      </c>
      <c r="D323" s="1" t="str">
        <f t="shared" si="23"/>
        <v/>
      </c>
      <c r="E323" s="4">
        <v>0</v>
      </c>
      <c r="F323" s="1" t="str">
        <f t="shared" si="24"/>
        <v/>
      </c>
      <c r="G323" s="1" t="str">
        <f t="shared" si="20"/>
        <v/>
      </c>
      <c r="H323" s="1" t="str">
        <f t="shared" si="21"/>
        <v/>
      </c>
    </row>
    <row r="324" spans="2:8" ht="18" x14ac:dyDescent="0.35">
      <c r="B324" s="2"/>
      <c r="C324" s="5" t="str">
        <f t="shared" si="22"/>
        <v/>
      </c>
      <c r="D324" s="1" t="str">
        <f t="shared" si="23"/>
        <v/>
      </c>
      <c r="E324" s="4">
        <v>0</v>
      </c>
      <c r="F324" s="1" t="str">
        <f t="shared" si="24"/>
        <v/>
      </c>
      <c r="G324" s="1" t="str">
        <f t="shared" si="20"/>
        <v/>
      </c>
      <c r="H324" s="1" t="str">
        <f t="shared" si="21"/>
        <v/>
      </c>
    </row>
    <row r="325" spans="2:8" ht="18" x14ac:dyDescent="0.35">
      <c r="B325" s="2"/>
      <c r="C325" s="5" t="str">
        <f t="shared" si="22"/>
        <v/>
      </c>
      <c r="D325" s="1" t="str">
        <f t="shared" si="23"/>
        <v/>
      </c>
      <c r="E325" s="4">
        <v>0</v>
      </c>
      <c r="F325" s="1" t="str">
        <f t="shared" si="24"/>
        <v/>
      </c>
      <c r="G325" s="1" t="str">
        <f t="shared" si="20"/>
        <v/>
      </c>
      <c r="H325" s="1" t="str">
        <f t="shared" si="21"/>
        <v/>
      </c>
    </row>
    <row r="326" spans="2:8" ht="18" x14ac:dyDescent="0.35">
      <c r="B326" s="2"/>
      <c r="C326" s="5" t="str">
        <f t="shared" si="22"/>
        <v/>
      </c>
      <c r="D326" s="1" t="str">
        <f t="shared" si="23"/>
        <v/>
      </c>
      <c r="E326" s="4">
        <v>0</v>
      </c>
      <c r="F326" s="1" t="str">
        <f t="shared" si="24"/>
        <v/>
      </c>
      <c r="G326" s="1" t="str">
        <f t="shared" si="20"/>
        <v/>
      </c>
      <c r="H326" s="1" t="str">
        <f t="shared" si="21"/>
        <v/>
      </c>
    </row>
    <row r="327" spans="2:8" ht="18" x14ac:dyDescent="0.35">
      <c r="B327" s="2"/>
      <c r="C327" s="5" t="str">
        <f t="shared" si="22"/>
        <v/>
      </c>
      <c r="D327" s="1" t="str">
        <f t="shared" si="23"/>
        <v/>
      </c>
      <c r="E327" s="4">
        <v>0</v>
      </c>
      <c r="F327" s="1" t="str">
        <f t="shared" si="24"/>
        <v/>
      </c>
      <c r="G327" s="1" t="str">
        <f t="shared" si="20"/>
        <v/>
      </c>
      <c r="H327" s="1" t="str">
        <f t="shared" si="21"/>
        <v/>
      </c>
    </row>
    <row r="328" spans="2:8" ht="18" x14ac:dyDescent="0.35">
      <c r="B328" s="2"/>
      <c r="C328" s="5" t="str">
        <f t="shared" si="22"/>
        <v/>
      </c>
      <c r="D328" s="1" t="str">
        <f t="shared" si="23"/>
        <v/>
      </c>
      <c r="E328" s="4">
        <v>0</v>
      </c>
      <c r="F328" s="1" t="str">
        <f t="shared" si="24"/>
        <v/>
      </c>
      <c r="G328" s="1" t="str">
        <f t="shared" si="20"/>
        <v/>
      </c>
      <c r="H328" s="1" t="str">
        <f t="shared" si="21"/>
        <v/>
      </c>
    </row>
    <row r="329" spans="2:8" ht="18" x14ac:dyDescent="0.35">
      <c r="B329" s="2"/>
      <c r="C329" s="5" t="str">
        <f t="shared" si="22"/>
        <v/>
      </c>
      <c r="D329" s="1" t="str">
        <f t="shared" si="23"/>
        <v/>
      </c>
      <c r="E329" s="4">
        <v>0</v>
      </c>
      <c r="F329" s="1" t="str">
        <f t="shared" si="24"/>
        <v/>
      </c>
      <c r="G329" s="1" t="str">
        <f t="shared" si="20"/>
        <v/>
      </c>
      <c r="H329" s="1" t="str">
        <f t="shared" si="21"/>
        <v/>
      </c>
    </row>
    <row r="330" spans="2:8" ht="18" x14ac:dyDescent="0.35">
      <c r="B330" s="2"/>
      <c r="C330" s="5" t="str">
        <f t="shared" si="22"/>
        <v/>
      </c>
      <c r="D330" s="1" t="str">
        <f t="shared" si="23"/>
        <v/>
      </c>
      <c r="E330" s="4">
        <v>0</v>
      </c>
      <c r="F330" s="1" t="str">
        <f t="shared" si="24"/>
        <v/>
      </c>
      <c r="G330" s="1" t="str">
        <f t="shared" si="20"/>
        <v/>
      </c>
      <c r="H330" s="1" t="str">
        <f t="shared" si="21"/>
        <v/>
      </c>
    </row>
    <row r="331" spans="2:8" ht="18" x14ac:dyDescent="0.35">
      <c r="B331" s="2"/>
      <c r="C331" s="5" t="str">
        <f t="shared" si="22"/>
        <v/>
      </c>
      <c r="D331" s="1" t="str">
        <f t="shared" si="23"/>
        <v/>
      </c>
      <c r="E331" s="4">
        <v>0</v>
      </c>
      <c r="F331" s="1" t="str">
        <f t="shared" si="24"/>
        <v/>
      </c>
      <c r="G331" s="1" t="str">
        <f t="shared" si="20"/>
        <v/>
      </c>
      <c r="H331" s="1" t="str">
        <f t="shared" si="21"/>
        <v/>
      </c>
    </row>
    <row r="332" spans="2:8" ht="18" x14ac:dyDescent="0.35">
      <c r="B332" s="2"/>
      <c r="C332" s="5" t="str">
        <f t="shared" si="22"/>
        <v/>
      </c>
      <c r="D332" s="1" t="str">
        <f t="shared" si="23"/>
        <v/>
      </c>
      <c r="E332" s="4">
        <v>0</v>
      </c>
      <c r="F332" s="1" t="str">
        <f t="shared" si="24"/>
        <v/>
      </c>
      <c r="G332" s="1" t="str">
        <f t="shared" si="20"/>
        <v/>
      </c>
      <c r="H332" s="1" t="str">
        <f t="shared" si="21"/>
        <v/>
      </c>
    </row>
    <row r="333" spans="2:8" ht="18" x14ac:dyDescent="0.35">
      <c r="B333" s="2"/>
      <c r="C333" s="5" t="str">
        <f t="shared" si="22"/>
        <v/>
      </c>
      <c r="D333" s="1" t="str">
        <f t="shared" si="23"/>
        <v/>
      </c>
      <c r="E333" s="4">
        <v>0</v>
      </c>
      <c r="F333" s="1" t="str">
        <f t="shared" si="24"/>
        <v/>
      </c>
      <c r="G333" s="1" t="str">
        <f t="shared" si="20"/>
        <v/>
      </c>
      <c r="H333" s="1" t="str">
        <f t="shared" si="21"/>
        <v/>
      </c>
    </row>
    <row r="334" spans="2:8" ht="18" x14ac:dyDescent="0.35">
      <c r="B334" s="2"/>
      <c r="C334" s="5" t="str">
        <f t="shared" si="22"/>
        <v/>
      </c>
      <c r="D334" s="1" t="str">
        <f t="shared" si="23"/>
        <v/>
      </c>
      <c r="E334" s="4">
        <v>0</v>
      </c>
      <c r="F334" s="1" t="str">
        <f t="shared" si="24"/>
        <v/>
      </c>
      <c r="G334" s="1" t="str">
        <f t="shared" si="20"/>
        <v/>
      </c>
      <c r="H334" s="1" t="str">
        <f t="shared" si="21"/>
        <v/>
      </c>
    </row>
    <row r="335" spans="2:8" ht="18" x14ac:dyDescent="0.35">
      <c r="B335" s="2"/>
      <c r="C335" s="5" t="str">
        <f t="shared" si="22"/>
        <v/>
      </c>
      <c r="D335" s="1" t="str">
        <f t="shared" si="23"/>
        <v/>
      </c>
      <c r="E335" s="4">
        <v>0</v>
      </c>
      <c r="F335" s="1" t="str">
        <f t="shared" si="24"/>
        <v/>
      </c>
      <c r="G335" s="1" t="str">
        <f t="shared" si="20"/>
        <v/>
      </c>
      <c r="H335" s="1" t="str">
        <f t="shared" si="21"/>
        <v/>
      </c>
    </row>
    <row r="336" spans="2:8" ht="18" x14ac:dyDescent="0.35">
      <c r="B336" s="2"/>
      <c r="C336" s="5" t="str">
        <f t="shared" si="22"/>
        <v/>
      </c>
      <c r="D336" s="1" t="str">
        <f t="shared" si="23"/>
        <v/>
      </c>
      <c r="E336" s="4">
        <v>0</v>
      </c>
      <c r="F336" s="1" t="str">
        <f t="shared" si="24"/>
        <v/>
      </c>
      <c r="G336" s="1" t="str">
        <f t="shared" si="20"/>
        <v/>
      </c>
      <c r="H336" s="1" t="str">
        <f t="shared" si="21"/>
        <v/>
      </c>
    </row>
    <row r="337" spans="2:8" ht="18" x14ac:dyDescent="0.35">
      <c r="B337" s="2"/>
      <c r="C337" s="5" t="str">
        <f t="shared" si="22"/>
        <v/>
      </c>
      <c r="D337" s="1" t="str">
        <f t="shared" si="23"/>
        <v/>
      </c>
      <c r="E337" s="4">
        <v>0</v>
      </c>
      <c r="F337" s="1" t="str">
        <f t="shared" si="24"/>
        <v/>
      </c>
      <c r="G337" s="1" t="str">
        <f t="shared" si="20"/>
        <v/>
      </c>
      <c r="H337" s="1" t="str">
        <f t="shared" si="21"/>
        <v/>
      </c>
    </row>
    <row r="338" spans="2:8" ht="18" x14ac:dyDescent="0.35">
      <c r="B338" s="2"/>
      <c r="C338" s="5" t="str">
        <f t="shared" si="22"/>
        <v/>
      </c>
      <c r="D338" s="1" t="str">
        <f t="shared" si="23"/>
        <v/>
      </c>
      <c r="E338" s="4">
        <v>0</v>
      </c>
      <c r="F338" s="1" t="str">
        <f t="shared" si="24"/>
        <v/>
      </c>
      <c r="G338" s="1" t="str">
        <f t="shared" si="20"/>
        <v/>
      </c>
      <c r="H338" s="1" t="str">
        <f t="shared" si="21"/>
        <v/>
      </c>
    </row>
    <row r="339" spans="2:8" ht="18" x14ac:dyDescent="0.35">
      <c r="B339" s="2"/>
      <c r="C339" s="5" t="str">
        <f t="shared" si="22"/>
        <v/>
      </c>
      <c r="D339" s="1" t="str">
        <f t="shared" si="23"/>
        <v/>
      </c>
      <c r="E339" s="4">
        <v>0</v>
      </c>
      <c r="F339" s="1" t="str">
        <f t="shared" si="24"/>
        <v/>
      </c>
      <c r="G339" s="1" t="str">
        <f t="shared" si="20"/>
        <v/>
      </c>
      <c r="H339" s="1" t="str">
        <f t="shared" si="21"/>
        <v/>
      </c>
    </row>
    <row r="340" spans="2:8" ht="18" x14ac:dyDescent="0.35">
      <c r="B340" s="2"/>
      <c r="C340" s="5" t="str">
        <f t="shared" si="22"/>
        <v/>
      </c>
      <c r="D340" s="1" t="str">
        <f t="shared" si="23"/>
        <v/>
      </c>
      <c r="E340" s="4">
        <v>0</v>
      </c>
      <c r="F340" s="1" t="str">
        <f t="shared" si="24"/>
        <v/>
      </c>
      <c r="G340" s="1" t="str">
        <f t="shared" si="20"/>
        <v/>
      </c>
      <c r="H340" s="1" t="str">
        <f t="shared" si="21"/>
        <v/>
      </c>
    </row>
    <row r="341" spans="2:8" ht="18" x14ac:dyDescent="0.35">
      <c r="B341" s="2"/>
      <c r="C341" s="5" t="str">
        <f t="shared" si="22"/>
        <v/>
      </c>
      <c r="D341" s="1" t="str">
        <f t="shared" si="23"/>
        <v/>
      </c>
      <c r="E341" s="4">
        <v>0</v>
      </c>
      <c r="F341" s="1" t="str">
        <f t="shared" si="24"/>
        <v/>
      </c>
      <c r="G341" s="1" t="str">
        <f t="shared" si="20"/>
        <v/>
      </c>
      <c r="H341" s="1" t="str">
        <f t="shared" si="21"/>
        <v/>
      </c>
    </row>
    <row r="342" spans="2:8" ht="18" x14ac:dyDescent="0.35">
      <c r="B342" s="2"/>
      <c r="C342" s="5" t="str">
        <f t="shared" si="22"/>
        <v/>
      </c>
      <c r="D342" s="1" t="str">
        <f t="shared" si="23"/>
        <v/>
      </c>
      <c r="E342" s="4">
        <v>0</v>
      </c>
      <c r="F342" s="1" t="str">
        <f t="shared" si="24"/>
        <v/>
      </c>
      <c r="G342" s="1" t="str">
        <f t="shared" ref="G342:G380" si="25">IF(B342="","",D342+E342)</f>
        <v/>
      </c>
      <c r="H342" s="1" t="str">
        <f t="shared" ref="H342:H380" si="26">IF(B342="","",H341-G342-E342)</f>
        <v/>
      </c>
    </row>
    <row r="343" spans="2:8" ht="18" x14ac:dyDescent="0.35">
      <c r="B343" s="2"/>
      <c r="C343" s="5" t="str">
        <f t="shared" ref="C343:C380" si="27">IF(H342=0,"",IF(B343="","",EOMONTH(C342,0)+1))</f>
        <v/>
      </c>
      <c r="D343" s="1" t="str">
        <f t="shared" ref="D343:D380" si="28">IF(H342&lt;$D$15,H342,IF(B343="","",MIN(H342+F343,$D$15)))</f>
        <v/>
      </c>
      <c r="E343" s="4">
        <v>0</v>
      </c>
      <c r="F343" s="1" t="str">
        <f t="shared" ref="F343:F380" si="29">IF(H342=0,"",IF(B343="","",$H$20*$H$8))</f>
        <v/>
      </c>
      <c r="G343" s="1" t="str">
        <f t="shared" si="25"/>
        <v/>
      </c>
      <c r="H343" s="1" t="str">
        <f t="shared" si="26"/>
        <v/>
      </c>
    </row>
    <row r="344" spans="2:8" ht="18" x14ac:dyDescent="0.35">
      <c r="B344" s="2"/>
      <c r="C344" s="5" t="str">
        <f t="shared" si="27"/>
        <v/>
      </c>
      <c r="D344" s="1" t="str">
        <f t="shared" si="28"/>
        <v/>
      </c>
      <c r="E344" s="4">
        <v>0</v>
      </c>
      <c r="F344" s="1" t="str">
        <f t="shared" si="29"/>
        <v/>
      </c>
      <c r="G344" s="1" t="str">
        <f t="shared" si="25"/>
        <v/>
      </c>
      <c r="H344" s="1" t="str">
        <f t="shared" si="26"/>
        <v/>
      </c>
    </row>
    <row r="345" spans="2:8" ht="18" x14ac:dyDescent="0.35">
      <c r="B345" s="2"/>
      <c r="C345" s="5" t="str">
        <f t="shared" si="27"/>
        <v/>
      </c>
      <c r="D345" s="1" t="str">
        <f t="shared" si="28"/>
        <v/>
      </c>
      <c r="E345" s="4">
        <v>0</v>
      </c>
      <c r="F345" s="1" t="str">
        <f t="shared" si="29"/>
        <v/>
      </c>
      <c r="G345" s="1" t="str">
        <f t="shared" si="25"/>
        <v/>
      </c>
      <c r="H345" s="1" t="str">
        <f t="shared" si="26"/>
        <v/>
      </c>
    </row>
    <row r="346" spans="2:8" ht="18" x14ac:dyDescent="0.35">
      <c r="B346" s="2"/>
      <c r="C346" s="5" t="str">
        <f t="shared" si="27"/>
        <v/>
      </c>
      <c r="D346" s="1" t="str">
        <f t="shared" si="28"/>
        <v/>
      </c>
      <c r="E346" s="4">
        <v>0</v>
      </c>
      <c r="F346" s="1" t="str">
        <f t="shared" si="29"/>
        <v/>
      </c>
      <c r="G346" s="1" t="str">
        <f t="shared" si="25"/>
        <v/>
      </c>
      <c r="H346" s="1" t="str">
        <f t="shared" si="26"/>
        <v/>
      </c>
    </row>
    <row r="347" spans="2:8" ht="18" x14ac:dyDescent="0.35">
      <c r="B347" s="2"/>
      <c r="C347" s="5" t="str">
        <f t="shared" si="27"/>
        <v/>
      </c>
      <c r="D347" s="1" t="str">
        <f t="shared" si="28"/>
        <v/>
      </c>
      <c r="E347" s="4">
        <v>0</v>
      </c>
      <c r="F347" s="1" t="str">
        <f t="shared" si="29"/>
        <v/>
      </c>
      <c r="G347" s="1" t="str">
        <f t="shared" si="25"/>
        <v/>
      </c>
      <c r="H347" s="1" t="str">
        <f t="shared" si="26"/>
        <v/>
      </c>
    </row>
    <row r="348" spans="2:8" ht="18" x14ac:dyDescent="0.35">
      <c r="B348" s="2"/>
      <c r="C348" s="5" t="str">
        <f t="shared" si="27"/>
        <v/>
      </c>
      <c r="D348" s="1" t="str">
        <f t="shared" si="28"/>
        <v/>
      </c>
      <c r="E348" s="4">
        <v>0</v>
      </c>
      <c r="F348" s="1" t="str">
        <f t="shared" si="29"/>
        <v/>
      </c>
      <c r="G348" s="1" t="str">
        <f t="shared" si="25"/>
        <v/>
      </c>
      <c r="H348" s="1" t="str">
        <f t="shared" si="26"/>
        <v/>
      </c>
    </row>
    <row r="349" spans="2:8" ht="18" x14ac:dyDescent="0.35">
      <c r="B349" s="2"/>
      <c r="C349" s="5" t="str">
        <f t="shared" si="27"/>
        <v/>
      </c>
      <c r="D349" s="1" t="str">
        <f t="shared" si="28"/>
        <v/>
      </c>
      <c r="E349" s="4">
        <v>0</v>
      </c>
      <c r="F349" s="1" t="str">
        <f t="shared" si="29"/>
        <v/>
      </c>
      <c r="G349" s="1" t="str">
        <f t="shared" si="25"/>
        <v/>
      </c>
      <c r="H349" s="1" t="str">
        <f t="shared" si="26"/>
        <v/>
      </c>
    </row>
    <row r="350" spans="2:8" ht="18" x14ac:dyDescent="0.35">
      <c r="B350" s="2"/>
      <c r="C350" s="5" t="str">
        <f t="shared" si="27"/>
        <v/>
      </c>
      <c r="D350" s="1" t="str">
        <f t="shared" si="28"/>
        <v/>
      </c>
      <c r="E350" s="4">
        <v>0</v>
      </c>
      <c r="F350" s="1" t="str">
        <f t="shared" si="29"/>
        <v/>
      </c>
      <c r="G350" s="1" t="str">
        <f t="shared" si="25"/>
        <v/>
      </c>
      <c r="H350" s="1" t="str">
        <f t="shared" si="26"/>
        <v/>
      </c>
    </row>
    <row r="351" spans="2:8" ht="18" x14ac:dyDescent="0.35">
      <c r="B351" s="2"/>
      <c r="C351" s="5" t="str">
        <f t="shared" si="27"/>
        <v/>
      </c>
      <c r="D351" s="1" t="str">
        <f t="shared" si="28"/>
        <v/>
      </c>
      <c r="E351" s="4">
        <v>0</v>
      </c>
      <c r="F351" s="1" t="str">
        <f t="shared" si="29"/>
        <v/>
      </c>
      <c r="G351" s="1" t="str">
        <f t="shared" si="25"/>
        <v/>
      </c>
      <c r="H351" s="1" t="str">
        <f t="shared" si="26"/>
        <v/>
      </c>
    </row>
    <row r="352" spans="2:8" ht="18" x14ac:dyDescent="0.35">
      <c r="B352" s="2"/>
      <c r="C352" s="5" t="str">
        <f t="shared" si="27"/>
        <v/>
      </c>
      <c r="D352" s="1" t="str">
        <f t="shared" si="28"/>
        <v/>
      </c>
      <c r="E352" s="4">
        <v>0</v>
      </c>
      <c r="F352" s="1" t="str">
        <f t="shared" si="29"/>
        <v/>
      </c>
      <c r="G352" s="1" t="str">
        <f t="shared" si="25"/>
        <v/>
      </c>
      <c r="H352" s="1" t="str">
        <f t="shared" si="26"/>
        <v/>
      </c>
    </row>
    <row r="353" spans="2:8" ht="18" x14ac:dyDescent="0.35">
      <c r="B353" s="2"/>
      <c r="C353" s="5" t="str">
        <f t="shared" si="27"/>
        <v/>
      </c>
      <c r="D353" s="1" t="str">
        <f t="shared" si="28"/>
        <v/>
      </c>
      <c r="E353" s="4">
        <v>0</v>
      </c>
      <c r="F353" s="1" t="str">
        <f t="shared" si="29"/>
        <v/>
      </c>
      <c r="G353" s="1" t="str">
        <f t="shared" si="25"/>
        <v/>
      </c>
      <c r="H353" s="1" t="str">
        <f t="shared" si="26"/>
        <v/>
      </c>
    </row>
    <row r="354" spans="2:8" ht="18" x14ac:dyDescent="0.35">
      <c r="B354" s="2"/>
      <c r="C354" s="5" t="str">
        <f t="shared" si="27"/>
        <v/>
      </c>
      <c r="D354" s="1" t="str">
        <f t="shared" si="28"/>
        <v/>
      </c>
      <c r="E354" s="4">
        <v>0</v>
      </c>
      <c r="F354" s="1" t="str">
        <f t="shared" si="29"/>
        <v/>
      </c>
      <c r="G354" s="1" t="str">
        <f t="shared" si="25"/>
        <v/>
      </c>
      <c r="H354" s="1" t="str">
        <f t="shared" si="26"/>
        <v/>
      </c>
    </row>
    <row r="355" spans="2:8" ht="18" x14ac:dyDescent="0.35">
      <c r="B355" s="2"/>
      <c r="C355" s="5" t="str">
        <f t="shared" si="27"/>
        <v/>
      </c>
      <c r="D355" s="1" t="str">
        <f t="shared" si="28"/>
        <v/>
      </c>
      <c r="E355" s="4">
        <v>0</v>
      </c>
      <c r="F355" s="1" t="str">
        <f t="shared" si="29"/>
        <v/>
      </c>
      <c r="G355" s="1" t="str">
        <f t="shared" si="25"/>
        <v/>
      </c>
      <c r="H355" s="1" t="str">
        <f t="shared" si="26"/>
        <v/>
      </c>
    </row>
    <row r="356" spans="2:8" ht="18" x14ac:dyDescent="0.35">
      <c r="B356" s="2"/>
      <c r="C356" s="5" t="str">
        <f t="shared" si="27"/>
        <v/>
      </c>
      <c r="D356" s="1" t="str">
        <f t="shared" si="28"/>
        <v/>
      </c>
      <c r="E356" s="4">
        <v>0</v>
      </c>
      <c r="F356" s="1" t="str">
        <f t="shared" si="29"/>
        <v/>
      </c>
      <c r="G356" s="1" t="str">
        <f t="shared" si="25"/>
        <v/>
      </c>
      <c r="H356" s="1" t="str">
        <f t="shared" si="26"/>
        <v/>
      </c>
    </row>
    <row r="357" spans="2:8" ht="18" x14ac:dyDescent="0.35">
      <c r="B357" s="2"/>
      <c r="C357" s="5" t="str">
        <f t="shared" si="27"/>
        <v/>
      </c>
      <c r="D357" s="1" t="str">
        <f t="shared" si="28"/>
        <v/>
      </c>
      <c r="E357" s="4">
        <v>0</v>
      </c>
      <c r="F357" s="1" t="str">
        <f t="shared" si="29"/>
        <v/>
      </c>
      <c r="G357" s="1" t="str">
        <f t="shared" si="25"/>
        <v/>
      </c>
      <c r="H357" s="1" t="str">
        <f t="shared" si="26"/>
        <v/>
      </c>
    </row>
    <row r="358" spans="2:8" ht="18" x14ac:dyDescent="0.35">
      <c r="B358" s="2"/>
      <c r="C358" s="5" t="str">
        <f t="shared" si="27"/>
        <v/>
      </c>
      <c r="D358" s="1" t="str">
        <f t="shared" si="28"/>
        <v/>
      </c>
      <c r="E358" s="4">
        <v>0</v>
      </c>
      <c r="F358" s="1" t="str">
        <f t="shared" si="29"/>
        <v/>
      </c>
      <c r="G358" s="1" t="str">
        <f t="shared" si="25"/>
        <v/>
      </c>
      <c r="H358" s="1" t="str">
        <f t="shared" si="26"/>
        <v/>
      </c>
    </row>
    <row r="359" spans="2:8" ht="18" x14ac:dyDescent="0.35">
      <c r="B359" s="2"/>
      <c r="C359" s="5" t="str">
        <f t="shared" si="27"/>
        <v/>
      </c>
      <c r="D359" s="1" t="str">
        <f t="shared" si="28"/>
        <v/>
      </c>
      <c r="E359" s="4">
        <v>0</v>
      </c>
      <c r="F359" s="1" t="str">
        <f t="shared" si="29"/>
        <v/>
      </c>
      <c r="G359" s="1" t="str">
        <f t="shared" si="25"/>
        <v/>
      </c>
      <c r="H359" s="1" t="str">
        <f t="shared" si="26"/>
        <v/>
      </c>
    </row>
    <row r="360" spans="2:8" ht="18" x14ac:dyDescent="0.35">
      <c r="B360" s="2"/>
      <c r="C360" s="5" t="str">
        <f t="shared" si="27"/>
        <v/>
      </c>
      <c r="D360" s="1" t="str">
        <f t="shared" si="28"/>
        <v/>
      </c>
      <c r="E360" s="4">
        <v>0</v>
      </c>
      <c r="F360" s="1" t="str">
        <f t="shared" si="29"/>
        <v/>
      </c>
      <c r="G360" s="1" t="str">
        <f t="shared" si="25"/>
        <v/>
      </c>
      <c r="H360" s="1" t="str">
        <f t="shared" si="26"/>
        <v/>
      </c>
    </row>
    <row r="361" spans="2:8" ht="18" x14ac:dyDescent="0.35">
      <c r="B361" s="2"/>
      <c r="C361" s="5" t="str">
        <f t="shared" si="27"/>
        <v/>
      </c>
      <c r="D361" s="1" t="str">
        <f t="shared" si="28"/>
        <v/>
      </c>
      <c r="E361" s="4">
        <v>0</v>
      </c>
      <c r="F361" s="1" t="str">
        <f t="shared" si="29"/>
        <v/>
      </c>
      <c r="G361" s="1" t="str">
        <f t="shared" si="25"/>
        <v/>
      </c>
      <c r="H361" s="1" t="str">
        <f t="shared" si="26"/>
        <v/>
      </c>
    </row>
    <row r="362" spans="2:8" ht="18" x14ac:dyDescent="0.35">
      <c r="B362" s="2"/>
      <c r="C362" s="5" t="str">
        <f t="shared" si="27"/>
        <v/>
      </c>
      <c r="D362" s="1" t="str">
        <f t="shared" si="28"/>
        <v/>
      </c>
      <c r="E362" s="4">
        <v>0</v>
      </c>
      <c r="F362" s="1" t="str">
        <f t="shared" si="29"/>
        <v/>
      </c>
      <c r="G362" s="1" t="str">
        <f t="shared" si="25"/>
        <v/>
      </c>
      <c r="H362" s="1" t="str">
        <f t="shared" si="26"/>
        <v/>
      </c>
    </row>
    <row r="363" spans="2:8" ht="18" x14ac:dyDescent="0.35">
      <c r="B363" s="2"/>
      <c r="C363" s="5" t="str">
        <f t="shared" si="27"/>
        <v/>
      </c>
      <c r="D363" s="1" t="str">
        <f t="shared" si="28"/>
        <v/>
      </c>
      <c r="E363" s="4">
        <v>0</v>
      </c>
      <c r="F363" s="1" t="str">
        <f t="shared" si="29"/>
        <v/>
      </c>
      <c r="G363" s="1" t="str">
        <f t="shared" si="25"/>
        <v/>
      </c>
      <c r="H363" s="1" t="str">
        <f t="shared" si="26"/>
        <v/>
      </c>
    </row>
    <row r="364" spans="2:8" ht="18" x14ac:dyDescent="0.35">
      <c r="B364" s="2"/>
      <c r="C364" s="5" t="str">
        <f t="shared" si="27"/>
        <v/>
      </c>
      <c r="D364" s="1" t="str">
        <f t="shared" si="28"/>
        <v/>
      </c>
      <c r="E364" s="4">
        <v>0</v>
      </c>
      <c r="F364" s="1" t="str">
        <f t="shared" si="29"/>
        <v/>
      </c>
      <c r="G364" s="1" t="str">
        <f t="shared" si="25"/>
        <v/>
      </c>
      <c r="H364" s="1" t="str">
        <f t="shared" si="26"/>
        <v/>
      </c>
    </row>
    <row r="365" spans="2:8" ht="18" x14ac:dyDescent="0.35">
      <c r="B365" s="2"/>
      <c r="C365" s="5" t="str">
        <f t="shared" si="27"/>
        <v/>
      </c>
      <c r="D365" s="1" t="str">
        <f t="shared" si="28"/>
        <v/>
      </c>
      <c r="E365" s="4">
        <v>0</v>
      </c>
      <c r="F365" s="1" t="str">
        <f t="shared" si="29"/>
        <v/>
      </c>
      <c r="G365" s="1" t="str">
        <f t="shared" si="25"/>
        <v/>
      </c>
      <c r="H365" s="1" t="str">
        <f t="shared" si="26"/>
        <v/>
      </c>
    </row>
    <row r="366" spans="2:8" ht="18" x14ac:dyDescent="0.35">
      <c r="B366" s="2"/>
      <c r="C366" s="5" t="str">
        <f t="shared" si="27"/>
        <v/>
      </c>
      <c r="D366" s="1" t="str">
        <f t="shared" si="28"/>
        <v/>
      </c>
      <c r="E366" s="4">
        <v>0</v>
      </c>
      <c r="F366" s="1" t="str">
        <f t="shared" si="29"/>
        <v/>
      </c>
      <c r="G366" s="1" t="str">
        <f t="shared" si="25"/>
        <v/>
      </c>
      <c r="H366" s="1" t="str">
        <f t="shared" si="26"/>
        <v/>
      </c>
    </row>
    <row r="367" spans="2:8" ht="18" x14ac:dyDescent="0.35">
      <c r="B367" s="2"/>
      <c r="C367" s="5" t="str">
        <f t="shared" si="27"/>
        <v/>
      </c>
      <c r="D367" s="1" t="str">
        <f t="shared" si="28"/>
        <v/>
      </c>
      <c r="E367" s="4">
        <v>0</v>
      </c>
      <c r="F367" s="1" t="str">
        <f t="shared" si="29"/>
        <v/>
      </c>
      <c r="G367" s="1" t="str">
        <f t="shared" si="25"/>
        <v/>
      </c>
      <c r="H367" s="1" t="str">
        <f t="shared" si="26"/>
        <v/>
      </c>
    </row>
    <row r="368" spans="2:8" ht="18" x14ac:dyDescent="0.35">
      <c r="B368" s="2"/>
      <c r="C368" s="5" t="str">
        <f t="shared" si="27"/>
        <v/>
      </c>
      <c r="D368" s="1" t="str">
        <f t="shared" si="28"/>
        <v/>
      </c>
      <c r="E368" s="4">
        <v>0</v>
      </c>
      <c r="F368" s="1" t="str">
        <f t="shared" si="29"/>
        <v/>
      </c>
      <c r="G368" s="1" t="str">
        <f t="shared" si="25"/>
        <v/>
      </c>
      <c r="H368" s="1" t="str">
        <f t="shared" si="26"/>
        <v/>
      </c>
    </row>
    <row r="369" spans="2:8" ht="18" x14ac:dyDescent="0.35">
      <c r="B369" s="2"/>
      <c r="C369" s="5" t="str">
        <f t="shared" si="27"/>
        <v/>
      </c>
      <c r="D369" s="1" t="str">
        <f t="shared" si="28"/>
        <v/>
      </c>
      <c r="E369" s="4">
        <v>0</v>
      </c>
      <c r="F369" s="1" t="str">
        <f t="shared" si="29"/>
        <v/>
      </c>
      <c r="G369" s="1" t="str">
        <f t="shared" si="25"/>
        <v/>
      </c>
      <c r="H369" s="1" t="str">
        <f t="shared" si="26"/>
        <v/>
      </c>
    </row>
    <row r="370" spans="2:8" ht="18" x14ac:dyDescent="0.35">
      <c r="B370" s="2"/>
      <c r="C370" s="5" t="str">
        <f t="shared" si="27"/>
        <v/>
      </c>
      <c r="D370" s="1" t="str">
        <f t="shared" si="28"/>
        <v/>
      </c>
      <c r="E370" s="4">
        <v>0</v>
      </c>
      <c r="F370" s="1" t="str">
        <f t="shared" si="29"/>
        <v/>
      </c>
      <c r="G370" s="1" t="str">
        <f t="shared" si="25"/>
        <v/>
      </c>
      <c r="H370" s="1" t="str">
        <f t="shared" si="26"/>
        <v/>
      </c>
    </row>
    <row r="371" spans="2:8" ht="18" x14ac:dyDescent="0.35">
      <c r="B371" s="2"/>
      <c r="C371" s="5" t="str">
        <f t="shared" si="27"/>
        <v/>
      </c>
      <c r="D371" s="1" t="str">
        <f t="shared" si="28"/>
        <v/>
      </c>
      <c r="E371" s="4">
        <v>0</v>
      </c>
      <c r="F371" s="1" t="str">
        <f t="shared" si="29"/>
        <v/>
      </c>
      <c r="G371" s="1" t="str">
        <f t="shared" si="25"/>
        <v/>
      </c>
      <c r="H371" s="1" t="str">
        <f t="shared" si="26"/>
        <v/>
      </c>
    </row>
    <row r="372" spans="2:8" ht="18" x14ac:dyDescent="0.35">
      <c r="B372" s="2"/>
      <c r="C372" s="5" t="str">
        <f t="shared" si="27"/>
        <v/>
      </c>
      <c r="D372" s="1" t="str">
        <f t="shared" si="28"/>
        <v/>
      </c>
      <c r="E372" s="4">
        <v>0</v>
      </c>
      <c r="F372" s="1" t="str">
        <f t="shared" si="29"/>
        <v/>
      </c>
      <c r="G372" s="1" t="str">
        <f t="shared" si="25"/>
        <v/>
      </c>
      <c r="H372" s="1" t="str">
        <f t="shared" si="26"/>
        <v/>
      </c>
    </row>
    <row r="373" spans="2:8" ht="18" x14ac:dyDescent="0.35">
      <c r="B373" s="2"/>
      <c r="C373" s="5" t="str">
        <f t="shared" si="27"/>
        <v/>
      </c>
      <c r="D373" s="1" t="str">
        <f t="shared" si="28"/>
        <v/>
      </c>
      <c r="E373" s="4">
        <v>0</v>
      </c>
      <c r="F373" s="1" t="str">
        <f t="shared" si="29"/>
        <v/>
      </c>
      <c r="G373" s="1" t="str">
        <f t="shared" si="25"/>
        <v/>
      </c>
      <c r="H373" s="1" t="str">
        <f t="shared" si="26"/>
        <v/>
      </c>
    </row>
    <row r="374" spans="2:8" ht="18" x14ac:dyDescent="0.35">
      <c r="B374" s="2"/>
      <c r="C374" s="5" t="str">
        <f t="shared" si="27"/>
        <v/>
      </c>
      <c r="D374" s="1" t="str">
        <f t="shared" si="28"/>
        <v/>
      </c>
      <c r="E374" s="4">
        <v>0</v>
      </c>
      <c r="F374" s="1" t="str">
        <f t="shared" si="29"/>
        <v/>
      </c>
      <c r="G374" s="1" t="str">
        <f t="shared" si="25"/>
        <v/>
      </c>
      <c r="H374" s="1" t="str">
        <f t="shared" si="26"/>
        <v/>
      </c>
    </row>
    <row r="375" spans="2:8" ht="18" x14ac:dyDescent="0.35">
      <c r="B375" s="2"/>
      <c r="C375" s="5" t="str">
        <f t="shared" si="27"/>
        <v/>
      </c>
      <c r="D375" s="1" t="str">
        <f t="shared" si="28"/>
        <v/>
      </c>
      <c r="E375" s="4">
        <v>0</v>
      </c>
      <c r="F375" s="1" t="str">
        <f t="shared" si="29"/>
        <v/>
      </c>
      <c r="G375" s="1" t="str">
        <f t="shared" si="25"/>
        <v/>
      </c>
      <c r="H375" s="1" t="str">
        <f t="shared" si="26"/>
        <v/>
      </c>
    </row>
    <row r="376" spans="2:8" ht="18" x14ac:dyDescent="0.35">
      <c r="B376" s="2"/>
      <c r="C376" s="5" t="str">
        <f t="shared" si="27"/>
        <v/>
      </c>
      <c r="D376" s="1" t="str">
        <f t="shared" si="28"/>
        <v/>
      </c>
      <c r="E376" s="4">
        <v>0</v>
      </c>
      <c r="F376" s="1" t="str">
        <f t="shared" si="29"/>
        <v/>
      </c>
      <c r="G376" s="1" t="str">
        <f t="shared" si="25"/>
        <v/>
      </c>
      <c r="H376" s="1" t="str">
        <f t="shared" si="26"/>
        <v/>
      </c>
    </row>
    <row r="377" spans="2:8" ht="18" x14ac:dyDescent="0.35">
      <c r="B377" s="2"/>
      <c r="C377" s="5" t="str">
        <f t="shared" si="27"/>
        <v/>
      </c>
      <c r="D377" s="1" t="str">
        <f t="shared" si="28"/>
        <v/>
      </c>
      <c r="E377" s="4">
        <v>0</v>
      </c>
      <c r="F377" s="1" t="str">
        <f t="shared" si="29"/>
        <v/>
      </c>
      <c r="G377" s="1" t="str">
        <f t="shared" si="25"/>
        <v/>
      </c>
      <c r="H377" s="1" t="str">
        <f t="shared" si="26"/>
        <v/>
      </c>
    </row>
    <row r="378" spans="2:8" ht="18" x14ac:dyDescent="0.35">
      <c r="B378" s="2"/>
      <c r="C378" s="5" t="str">
        <f t="shared" si="27"/>
        <v/>
      </c>
      <c r="D378" s="1" t="str">
        <f t="shared" si="28"/>
        <v/>
      </c>
      <c r="E378" s="4">
        <v>0</v>
      </c>
      <c r="F378" s="1" t="str">
        <f t="shared" si="29"/>
        <v/>
      </c>
      <c r="G378" s="1" t="str">
        <f t="shared" si="25"/>
        <v/>
      </c>
      <c r="H378" s="1" t="str">
        <f t="shared" si="26"/>
        <v/>
      </c>
    </row>
    <row r="379" spans="2:8" ht="18" x14ac:dyDescent="0.35">
      <c r="B379" s="2"/>
      <c r="C379" s="5" t="str">
        <f t="shared" si="27"/>
        <v/>
      </c>
      <c r="D379" s="1" t="str">
        <f t="shared" si="28"/>
        <v/>
      </c>
      <c r="E379" s="4">
        <v>0</v>
      </c>
      <c r="F379" s="1" t="str">
        <f t="shared" si="29"/>
        <v/>
      </c>
      <c r="G379" s="1" t="str">
        <f t="shared" si="25"/>
        <v/>
      </c>
      <c r="H379" s="1" t="str">
        <f t="shared" si="26"/>
        <v/>
      </c>
    </row>
    <row r="380" spans="2:8" ht="18" x14ac:dyDescent="0.35">
      <c r="B380" s="2"/>
      <c r="C380" s="5" t="str">
        <f t="shared" si="27"/>
        <v/>
      </c>
      <c r="D380" s="1" t="str">
        <f t="shared" si="28"/>
        <v/>
      </c>
      <c r="E380" s="4">
        <v>0</v>
      </c>
      <c r="F380" s="1" t="str">
        <f t="shared" si="29"/>
        <v/>
      </c>
      <c r="G380" s="1" t="str">
        <f t="shared" si="25"/>
        <v/>
      </c>
      <c r="H380" s="1" t="str">
        <f t="shared" si="26"/>
        <v/>
      </c>
    </row>
  </sheetData>
  <mergeCells count="13">
    <mergeCell ref="B9:C9"/>
    <mergeCell ref="B2:H4"/>
    <mergeCell ref="B6:D6"/>
    <mergeCell ref="G6:H6"/>
    <mergeCell ref="B7:D7"/>
    <mergeCell ref="B8:C8"/>
    <mergeCell ref="B17:C17"/>
    <mergeCell ref="B10:C10"/>
    <mergeCell ref="B11:C11"/>
    <mergeCell ref="B12:C12"/>
    <mergeCell ref="B13:C13"/>
    <mergeCell ref="B14:C14"/>
    <mergeCell ref="B15:C1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D403C-36F3-493B-8C61-5AC30A09A723}">
  <sheetPr codeName="Sheet2"/>
  <dimension ref="A1:S380"/>
  <sheetViews>
    <sheetView showGridLines="0" topLeftCell="A7" workbookViewId="0">
      <selection activeCell="C22" sqref="C22"/>
    </sheetView>
  </sheetViews>
  <sheetFormatPr defaultRowHeight="18" x14ac:dyDescent="0.35"/>
  <cols>
    <col min="1" max="1" width="12.109375" style="32" customWidth="1"/>
    <col min="2" max="2" width="8.88671875" style="52"/>
    <col min="3" max="3" width="18.44140625" customWidth="1"/>
    <col min="4" max="4" width="15.44140625" bestFit="1" customWidth="1"/>
    <col min="5" max="5" width="21.5546875" bestFit="1" customWidth="1"/>
    <col min="6" max="6" width="14.21875" bestFit="1" customWidth="1"/>
    <col min="7" max="7" width="21.5546875" bestFit="1" customWidth="1"/>
    <col min="8" max="8" width="18.5546875" customWidth="1"/>
    <col min="9" max="13" width="9.109375" style="32"/>
    <col min="14" max="19" width="8.88671875" style="49"/>
  </cols>
  <sheetData>
    <row r="1" spans="2:19" s="42" customFormat="1" x14ac:dyDescent="0.35">
      <c r="B1" s="50"/>
      <c r="N1" s="49"/>
      <c r="O1" s="49"/>
      <c r="P1" s="49"/>
      <c r="Q1" s="49"/>
      <c r="R1" s="49"/>
      <c r="S1" s="49"/>
    </row>
    <row r="2" spans="2:19" ht="15" customHeight="1" x14ac:dyDescent="0.3">
      <c r="B2" s="103" t="s">
        <v>8</v>
      </c>
      <c r="C2" s="103"/>
      <c r="D2" s="103"/>
      <c r="E2" s="103"/>
      <c r="F2" s="103"/>
      <c r="G2" s="103"/>
      <c r="H2" s="103"/>
    </row>
    <row r="3" spans="2:19" ht="15" customHeight="1" x14ac:dyDescent="0.3">
      <c r="B3" s="103"/>
      <c r="C3" s="103"/>
      <c r="D3" s="103"/>
      <c r="E3" s="103"/>
      <c r="F3" s="103"/>
      <c r="G3" s="103"/>
      <c r="H3" s="103"/>
    </row>
    <row r="4" spans="2:19" ht="15.75" customHeight="1" x14ac:dyDescent="0.3">
      <c r="B4" s="103"/>
      <c r="C4" s="103"/>
      <c r="D4" s="103"/>
      <c r="E4" s="103"/>
      <c r="F4" s="103"/>
      <c r="G4" s="103"/>
      <c r="H4" s="103"/>
    </row>
    <row r="5" spans="2:19" ht="6.75" customHeight="1" x14ac:dyDescent="0.35">
      <c r="B5" s="51"/>
      <c r="C5" s="8"/>
      <c r="D5" s="8"/>
      <c r="E5" s="8"/>
      <c r="F5" s="8"/>
      <c r="G5" s="8"/>
      <c r="H5" s="24"/>
    </row>
    <row r="6" spans="2:19" x14ac:dyDescent="0.35">
      <c r="B6" s="104" t="s">
        <v>2</v>
      </c>
      <c r="C6" s="105"/>
      <c r="D6" s="105"/>
      <c r="E6" s="8"/>
      <c r="F6" s="8"/>
      <c r="G6" s="105" t="s">
        <v>14</v>
      </c>
      <c r="H6" s="106"/>
    </row>
    <row r="7" spans="2:19" ht="9.75" customHeight="1" thickBot="1" x14ac:dyDescent="0.4">
      <c r="B7" s="107"/>
      <c r="C7" s="108"/>
      <c r="D7" s="108"/>
      <c r="E7" s="8"/>
      <c r="F7" s="8"/>
      <c r="G7" s="10"/>
      <c r="H7" s="25"/>
    </row>
    <row r="8" spans="2:19" ht="18.600000000000001" thickBot="1" x14ac:dyDescent="0.4">
      <c r="B8" s="97" t="s">
        <v>0</v>
      </c>
      <c r="C8" s="98"/>
      <c r="D8" s="20">
        <f>DASHBOARD!C3</f>
        <v>200000</v>
      </c>
      <c r="E8" s="7"/>
      <c r="F8" s="7"/>
      <c r="G8" s="12" t="s">
        <v>3</v>
      </c>
      <c r="H8" s="26">
        <f>D9/12</f>
        <v>1.6666666666666668E-3</v>
      </c>
    </row>
    <row r="9" spans="2:19" ht="18.600000000000001" thickBot="1" x14ac:dyDescent="0.4">
      <c r="B9" s="99" t="s">
        <v>1</v>
      </c>
      <c r="C9" s="100"/>
      <c r="D9" s="21">
        <f>DASHBOARD!C4</f>
        <v>0.02</v>
      </c>
      <c r="E9" s="7"/>
      <c r="F9" s="7"/>
      <c r="G9" s="13" t="s">
        <v>4</v>
      </c>
      <c r="H9" s="53">
        <f>H11+H10</f>
        <v>205474.1726151912</v>
      </c>
    </row>
    <row r="10" spans="2:19" ht="18.600000000000001" thickBot="1" x14ac:dyDescent="0.4">
      <c r="B10" s="97" t="s">
        <v>35</v>
      </c>
      <c r="C10" s="98"/>
      <c r="D10" s="19">
        <f>DASHBOARD!C6</f>
        <v>3</v>
      </c>
      <c r="E10" s="7"/>
      <c r="F10" s="7"/>
      <c r="G10" s="13" t="s">
        <v>5</v>
      </c>
      <c r="H10" s="53">
        <f>SUBTOTAL(9,F21:F380)</f>
        <v>5474.1726151912217</v>
      </c>
    </row>
    <row r="11" spans="2:19" ht="18.600000000000001" thickBot="1" x14ac:dyDescent="0.4">
      <c r="B11" s="97" t="s">
        <v>23</v>
      </c>
      <c r="C11" s="98"/>
      <c r="D11" s="40">
        <f>DASHBOARD!C8</f>
        <v>43912</v>
      </c>
      <c r="E11" s="38"/>
      <c r="F11" s="7"/>
      <c r="G11" s="13" t="s">
        <v>6</v>
      </c>
      <c r="H11" s="53">
        <f>SUBTOTAL(9,G21:G380)+SUBTOTAL(9,E21:E276)</f>
        <v>199999.99999999997</v>
      </c>
    </row>
    <row r="12" spans="2:19" ht="18.600000000000001" thickBot="1" x14ac:dyDescent="0.4">
      <c r="B12" s="99" t="s">
        <v>9</v>
      </c>
      <c r="C12" s="100"/>
      <c r="D12" s="18">
        <f>EOMONTH(D11,0)+1</f>
        <v>43922</v>
      </c>
      <c r="E12" s="6"/>
      <c r="F12" s="39"/>
      <c r="G12" s="14" t="s">
        <v>7</v>
      </c>
      <c r="H12" s="53">
        <f>D8-H11</f>
        <v>0</v>
      </c>
    </row>
    <row r="13" spans="2:19" ht="18.600000000000001" thickBot="1" x14ac:dyDescent="0.4">
      <c r="B13" s="97" t="s">
        <v>10</v>
      </c>
      <c r="C13" s="98"/>
      <c r="D13" s="17">
        <f>D9/12</f>
        <v>1.6666666666666668E-3</v>
      </c>
      <c r="E13" s="7"/>
      <c r="F13" s="7"/>
      <c r="G13" s="23"/>
      <c r="H13" s="41"/>
    </row>
    <row r="14" spans="2:19" ht="18.600000000000001" thickBot="1" x14ac:dyDescent="0.4">
      <c r="B14" s="99" t="s">
        <v>12</v>
      </c>
      <c r="C14" s="100"/>
      <c r="D14" s="19">
        <f>D10*12</f>
        <v>36</v>
      </c>
      <c r="E14" s="7"/>
      <c r="F14" s="7"/>
      <c r="H14" s="3"/>
    </row>
    <row r="15" spans="2:19" ht="18.600000000000001" thickBot="1" x14ac:dyDescent="0.4">
      <c r="B15" s="101" t="s">
        <v>17</v>
      </c>
      <c r="C15" s="102"/>
      <c r="D15" s="22">
        <f>ABS(PMT(H8,D14,D8,0,0))</f>
        <v>5728.5157464912763</v>
      </c>
      <c r="E15" s="7"/>
      <c r="F15" s="7"/>
      <c r="G15" s="9"/>
      <c r="H15" s="3"/>
    </row>
    <row r="16" spans="2:19" ht="9" customHeight="1" thickBot="1" x14ac:dyDescent="0.4">
      <c r="B16" s="45"/>
      <c r="C16" s="27"/>
      <c r="D16" s="28"/>
      <c r="E16" s="29"/>
      <c r="F16" s="29"/>
      <c r="G16" s="30"/>
      <c r="H16" s="31"/>
    </row>
    <row r="17" spans="2:8" ht="15" customHeight="1" x14ac:dyDescent="0.35">
      <c r="B17" s="95" t="s">
        <v>15</v>
      </c>
      <c r="C17" s="96"/>
      <c r="H17" s="16"/>
    </row>
    <row r="18" spans="2:8" ht="6" customHeight="1" thickBot="1" x14ac:dyDescent="0.4">
      <c r="B18" s="51"/>
      <c r="H18" s="16"/>
    </row>
    <row r="19" spans="2:8" ht="18.600000000000001" thickBot="1" x14ac:dyDescent="0.4">
      <c r="B19" s="33" t="s">
        <v>20</v>
      </c>
      <c r="C19" s="34" t="s">
        <v>21</v>
      </c>
      <c r="D19" s="35" t="s">
        <v>18</v>
      </c>
      <c r="E19" s="35" t="s">
        <v>19</v>
      </c>
      <c r="F19" s="36" t="s">
        <v>22</v>
      </c>
      <c r="G19" s="36" t="s">
        <v>16</v>
      </c>
      <c r="H19" s="37" t="s">
        <v>13</v>
      </c>
    </row>
    <row r="20" spans="2:8" x14ac:dyDescent="0.35">
      <c r="B20" s="2">
        <v>0</v>
      </c>
      <c r="C20" s="2"/>
      <c r="D20" s="1"/>
      <c r="E20" s="1"/>
      <c r="F20" s="1"/>
      <c r="G20" s="1"/>
      <c r="H20" s="1">
        <f>D8</f>
        <v>200000</v>
      </c>
    </row>
    <row r="21" spans="2:8" x14ac:dyDescent="0.35">
      <c r="B21" s="2" cm="1">
        <f t="array" ref="B21:B56">_xlfn.SEQUENCE(D14)</f>
        <v>1</v>
      </c>
      <c r="C21" s="5">
        <f>IF(B21="","",D12)</f>
        <v>43922</v>
      </c>
      <c r="D21" s="1">
        <f>D15</f>
        <v>5728.5157464912763</v>
      </c>
      <c r="E21" s="4"/>
      <c r="F21" s="1">
        <f>IF(B21="","",H20*$H$8)</f>
        <v>333.33333333333337</v>
      </c>
      <c r="G21" s="1">
        <f>IF(B21="","",D21-F21+E21)</f>
        <v>5395.1824131579433</v>
      </c>
      <c r="H21" s="1">
        <f>IF(B21="","",H20-G21-E21)</f>
        <v>194604.81758684205</v>
      </c>
    </row>
    <row r="22" spans="2:8" x14ac:dyDescent="0.35">
      <c r="B22" s="2">
        <v>2</v>
      </c>
      <c r="C22" s="5">
        <f>IF(B22="","",EOMONTH(C21,0)+1)</f>
        <v>43952</v>
      </c>
      <c r="D22" s="1">
        <f>IF(B22="","",MIN(H21+F22,$D$15))</f>
        <v>5728.5157464912763</v>
      </c>
      <c r="E22" s="4"/>
      <c r="F22" s="1">
        <f t="shared" ref="F22:F85" si="0">IF(B22="","",H21*$H$8)</f>
        <v>324.34136264473676</v>
      </c>
      <c r="G22" s="1">
        <f t="shared" ref="G22:G85" si="1">IF(B22="","",D22-F22)</f>
        <v>5404.17438384654</v>
      </c>
      <c r="H22" s="1">
        <f t="shared" ref="H22:H85" si="2">IF(B22="","",H21-G22-E22)</f>
        <v>189200.6432029955</v>
      </c>
    </row>
    <row r="23" spans="2:8" x14ac:dyDescent="0.35">
      <c r="B23" s="2">
        <v>3</v>
      </c>
      <c r="C23" s="5">
        <f t="shared" ref="C23:C86" si="3">IF(B23="","",EOMONTH(C22,0)+1)</f>
        <v>43983</v>
      </c>
      <c r="D23" s="1">
        <f t="shared" ref="D23:D86" si="4">IF(B23="","",MIN(H22+F23,$D$15))</f>
        <v>5728.5157464912763</v>
      </c>
      <c r="E23" s="4"/>
      <c r="F23" s="1">
        <f t="shared" si="0"/>
        <v>315.33440533832584</v>
      </c>
      <c r="G23" s="1">
        <f t="shared" si="1"/>
        <v>5413.1813411529502</v>
      </c>
      <c r="H23" s="1">
        <f t="shared" si="2"/>
        <v>183787.46186184254</v>
      </c>
    </row>
    <row r="24" spans="2:8" x14ac:dyDescent="0.35">
      <c r="B24" s="2">
        <v>4</v>
      </c>
      <c r="C24" s="5">
        <f t="shared" si="3"/>
        <v>44013</v>
      </c>
      <c r="D24" s="1">
        <f t="shared" si="4"/>
        <v>5728.5157464912763</v>
      </c>
      <c r="E24" s="4">
        <v>1000</v>
      </c>
      <c r="F24" s="1">
        <f t="shared" si="0"/>
        <v>306.31243643640425</v>
      </c>
      <c r="G24" s="1">
        <f t="shared" si="1"/>
        <v>5422.2033100548724</v>
      </c>
      <c r="H24" s="1">
        <f t="shared" si="2"/>
        <v>177365.25855178767</v>
      </c>
    </row>
    <row r="25" spans="2:8" x14ac:dyDescent="0.35">
      <c r="B25" s="2">
        <v>5</v>
      </c>
      <c r="C25" s="5">
        <f t="shared" si="3"/>
        <v>44044</v>
      </c>
      <c r="D25" s="1">
        <f t="shared" si="4"/>
        <v>5728.5157464912763</v>
      </c>
      <c r="E25" s="4"/>
      <c r="F25" s="1">
        <f t="shared" si="0"/>
        <v>295.60876425297948</v>
      </c>
      <c r="G25" s="1">
        <f t="shared" si="1"/>
        <v>5432.9069822382971</v>
      </c>
      <c r="H25" s="1">
        <f t="shared" si="2"/>
        <v>171932.35156954938</v>
      </c>
    </row>
    <row r="26" spans="2:8" x14ac:dyDescent="0.35">
      <c r="B26" s="2">
        <v>6</v>
      </c>
      <c r="C26" s="5">
        <f t="shared" si="3"/>
        <v>44075</v>
      </c>
      <c r="D26" s="1">
        <f t="shared" si="4"/>
        <v>5728.5157464912763</v>
      </c>
      <c r="E26" s="4"/>
      <c r="F26" s="1">
        <f t="shared" si="0"/>
        <v>286.55391928258234</v>
      </c>
      <c r="G26" s="1">
        <f t="shared" si="1"/>
        <v>5441.9618272086936</v>
      </c>
      <c r="H26" s="1">
        <f t="shared" si="2"/>
        <v>166490.38974234069</v>
      </c>
    </row>
    <row r="27" spans="2:8" x14ac:dyDescent="0.35">
      <c r="B27" s="2">
        <v>7</v>
      </c>
      <c r="C27" s="5">
        <f t="shared" si="3"/>
        <v>44105</v>
      </c>
      <c r="D27" s="1">
        <f t="shared" si="4"/>
        <v>5728.5157464912763</v>
      </c>
      <c r="E27" s="4"/>
      <c r="F27" s="1">
        <f t="shared" si="0"/>
        <v>277.48398290390116</v>
      </c>
      <c r="G27" s="1">
        <f t="shared" si="1"/>
        <v>5451.0317635873753</v>
      </c>
      <c r="H27" s="1">
        <f t="shared" si="2"/>
        <v>161039.35797875331</v>
      </c>
    </row>
    <row r="28" spans="2:8" x14ac:dyDescent="0.35">
      <c r="B28" s="2">
        <v>8</v>
      </c>
      <c r="C28" s="5">
        <f t="shared" si="3"/>
        <v>44136</v>
      </c>
      <c r="D28" s="1">
        <f t="shared" si="4"/>
        <v>5728.5157464912763</v>
      </c>
      <c r="E28" s="4"/>
      <c r="F28" s="1">
        <f t="shared" si="0"/>
        <v>268.39892996458889</v>
      </c>
      <c r="G28" s="1">
        <f t="shared" si="1"/>
        <v>5460.1168165266872</v>
      </c>
      <c r="H28" s="1">
        <f t="shared" si="2"/>
        <v>155579.24116222662</v>
      </c>
    </row>
    <row r="29" spans="2:8" x14ac:dyDescent="0.35">
      <c r="B29" s="2">
        <v>9</v>
      </c>
      <c r="C29" s="5">
        <f t="shared" si="3"/>
        <v>44166</v>
      </c>
      <c r="D29" s="1">
        <f t="shared" si="4"/>
        <v>5728.5157464912763</v>
      </c>
      <c r="E29" s="4"/>
      <c r="F29" s="1">
        <f t="shared" si="0"/>
        <v>259.29873527037773</v>
      </c>
      <c r="G29" s="1">
        <f t="shared" si="1"/>
        <v>5469.2170112208987</v>
      </c>
      <c r="H29" s="1">
        <f t="shared" si="2"/>
        <v>150110.02415100572</v>
      </c>
    </row>
    <row r="30" spans="2:8" x14ac:dyDescent="0.35">
      <c r="B30" s="2">
        <v>10</v>
      </c>
      <c r="C30" s="5">
        <f t="shared" si="3"/>
        <v>44197</v>
      </c>
      <c r="D30" s="1">
        <f t="shared" si="4"/>
        <v>5728.5157464912763</v>
      </c>
      <c r="E30" s="4"/>
      <c r="F30" s="1">
        <f t="shared" si="0"/>
        <v>250.18337358500955</v>
      </c>
      <c r="G30" s="1">
        <f t="shared" si="1"/>
        <v>5478.3323729062668</v>
      </c>
      <c r="H30" s="1">
        <f t="shared" si="2"/>
        <v>144631.69177809946</v>
      </c>
    </row>
    <row r="31" spans="2:8" x14ac:dyDescent="0.35">
      <c r="B31" s="2">
        <v>11</v>
      </c>
      <c r="C31" s="5">
        <f t="shared" si="3"/>
        <v>44228</v>
      </c>
      <c r="D31" s="1">
        <f t="shared" si="4"/>
        <v>5728.5157464912763</v>
      </c>
      <c r="E31" s="4">
        <v>3000</v>
      </c>
      <c r="F31" s="1">
        <f t="shared" si="0"/>
        <v>241.05281963016577</v>
      </c>
      <c r="G31" s="1">
        <f t="shared" si="1"/>
        <v>5487.4629268611106</v>
      </c>
      <c r="H31" s="1">
        <f t="shared" si="2"/>
        <v>136144.22885123835</v>
      </c>
    </row>
    <row r="32" spans="2:8" x14ac:dyDescent="0.35">
      <c r="B32" s="2">
        <v>12</v>
      </c>
      <c r="C32" s="5">
        <f t="shared" si="3"/>
        <v>44256</v>
      </c>
      <c r="D32" s="1">
        <f t="shared" si="4"/>
        <v>5728.5157464912763</v>
      </c>
      <c r="E32" s="4">
        <v>15000</v>
      </c>
      <c r="F32" s="1">
        <f t="shared" si="0"/>
        <v>226.90704808539726</v>
      </c>
      <c r="G32" s="1">
        <f t="shared" si="1"/>
        <v>5501.6086984058793</v>
      </c>
      <c r="H32" s="1">
        <f t="shared" si="2"/>
        <v>115642.62015283247</v>
      </c>
    </row>
    <row r="33" spans="2:8" x14ac:dyDescent="0.35">
      <c r="B33" s="2">
        <v>13</v>
      </c>
      <c r="C33" s="5">
        <f t="shared" si="3"/>
        <v>44287</v>
      </c>
      <c r="D33" s="1">
        <f t="shared" si="4"/>
        <v>5728.5157464912763</v>
      </c>
      <c r="E33" s="4"/>
      <c r="F33" s="1">
        <f t="shared" si="0"/>
        <v>192.73770025472081</v>
      </c>
      <c r="G33" s="1">
        <f t="shared" si="1"/>
        <v>5535.7780462365554</v>
      </c>
      <c r="H33" s="1">
        <f t="shared" si="2"/>
        <v>110106.84210659593</v>
      </c>
    </row>
    <row r="34" spans="2:8" x14ac:dyDescent="0.35">
      <c r="B34" s="2">
        <v>14</v>
      </c>
      <c r="C34" s="5">
        <f t="shared" si="3"/>
        <v>44317</v>
      </c>
      <c r="D34" s="1">
        <f t="shared" si="4"/>
        <v>5728.5157464912763</v>
      </c>
      <c r="E34" s="4"/>
      <c r="F34" s="1">
        <f t="shared" si="0"/>
        <v>183.51140351099323</v>
      </c>
      <c r="G34" s="1">
        <f t="shared" si="1"/>
        <v>5545.0043429802827</v>
      </c>
      <c r="H34" s="1">
        <f t="shared" si="2"/>
        <v>104561.83776361565</v>
      </c>
    </row>
    <row r="35" spans="2:8" x14ac:dyDescent="0.35">
      <c r="B35" s="2">
        <v>15</v>
      </c>
      <c r="C35" s="5">
        <f t="shared" si="3"/>
        <v>44348</v>
      </c>
      <c r="D35" s="1">
        <f t="shared" si="4"/>
        <v>5728.5157464912763</v>
      </c>
      <c r="E35" s="4"/>
      <c r="F35" s="1">
        <f t="shared" si="0"/>
        <v>174.26972960602609</v>
      </c>
      <c r="G35" s="1">
        <f t="shared" si="1"/>
        <v>5554.2460168852504</v>
      </c>
      <c r="H35" s="1">
        <f t="shared" si="2"/>
        <v>99007.591746730395</v>
      </c>
    </row>
    <row r="36" spans="2:8" x14ac:dyDescent="0.35">
      <c r="B36" s="2">
        <v>16</v>
      </c>
      <c r="C36" s="5">
        <f t="shared" si="3"/>
        <v>44378</v>
      </c>
      <c r="D36" s="1">
        <f t="shared" si="4"/>
        <v>5728.5157464912763</v>
      </c>
      <c r="E36" s="4"/>
      <c r="F36" s="1">
        <f t="shared" si="0"/>
        <v>165.01265291121734</v>
      </c>
      <c r="G36" s="1">
        <f t="shared" si="1"/>
        <v>5563.5030935800587</v>
      </c>
      <c r="H36" s="1">
        <f t="shared" si="2"/>
        <v>93444.088653150335</v>
      </c>
    </row>
    <row r="37" spans="2:8" x14ac:dyDescent="0.35">
      <c r="B37" s="2">
        <v>17</v>
      </c>
      <c r="C37" s="5">
        <f t="shared" si="3"/>
        <v>44409</v>
      </c>
      <c r="D37" s="1">
        <f t="shared" si="4"/>
        <v>5728.5157464912763</v>
      </c>
      <c r="E37" s="4"/>
      <c r="F37" s="1">
        <f t="shared" si="0"/>
        <v>155.74014775525058</v>
      </c>
      <c r="G37" s="1">
        <f t="shared" si="1"/>
        <v>5572.775598736026</v>
      </c>
      <c r="H37" s="1">
        <f t="shared" si="2"/>
        <v>87871.313054414306</v>
      </c>
    </row>
    <row r="38" spans="2:8" x14ac:dyDescent="0.35">
      <c r="B38" s="2">
        <v>18</v>
      </c>
      <c r="C38" s="5">
        <f t="shared" si="3"/>
        <v>44440</v>
      </c>
      <c r="D38" s="1">
        <f t="shared" si="4"/>
        <v>5728.5157464912763</v>
      </c>
      <c r="E38" s="4"/>
      <c r="F38" s="1">
        <f t="shared" si="0"/>
        <v>146.45218842402386</v>
      </c>
      <c r="G38" s="1">
        <f t="shared" si="1"/>
        <v>5582.0635580672524</v>
      </c>
      <c r="H38" s="1">
        <f t="shared" si="2"/>
        <v>82289.249496347053</v>
      </c>
    </row>
    <row r="39" spans="2:8" x14ac:dyDescent="0.35">
      <c r="B39" s="2">
        <v>19</v>
      </c>
      <c r="C39" s="5">
        <f t="shared" si="3"/>
        <v>44470</v>
      </c>
      <c r="D39" s="1">
        <f t="shared" si="4"/>
        <v>5728.5157464912763</v>
      </c>
      <c r="E39" s="4"/>
      <c r="F39" s="1">
        <f t="shared" si="0"/>
        <v>137.14874916057843</v>
      </c>
      <c r="G39" s="1">
        <f t="shared" si="1"/>
        <v>5591.3669973306978</v>
      </c>
      <c r="H39" s="1">
        <f t="shared" si="2"/>
        <v>76697.882499016356</v>
      </c>
    </row>
    <row r="40" spans="2:8" x14ac:dyDescent="0.35">
      <c r="B40" s="2">
        <v>20</v>
      </c>
      <c r="C40" s="5">
        <f t="shared" si="3"/>
        <v>44501</v>
      </c>
      <c r="D40" s="1">
        <f t="shared" si="4"/>
        <v>5728.5157464912763</v>
      </c>
      <c r="E40" s="4"/>
      <c r="F40" s="1">
        <f t="shared" si="0"/>
        <v>127.82980416502727</v>
      </c>
      <c r="G40" s="1">
        <f t="shared" si="1"/>
        <v>5600.6859423262495</v>
      </c>
      <c r="H40" s="1">
        <f t="shared" si="2"/>
        <v>71097.196556690105</v>
      </c>
    </row>
    <row r="41" spans="2:8" x14ac:dyDescent="0.35">
      <c r="B41" s="2">
        <v>21</v>
      </c>
      <c r="C41" s="5">
        <f t="shared" si="3"/>
        <v>44531</v>
      </c>
      <c r="D41" s="1">
        <f t="shared" si="4"/>
        <v>5728.5157464912763</v>
      </c>
      <c r="E41" s="4"/>
      <c r="F41" s="1">
        <f t="shared" si="0"/>
        <v>118.49532759448351</v>
      </c>
      <c r="G41" s="1">
        <f t="shared" si="1"/>
        <v>5610.0204188967928</v>
      </c>
      <c r="H41" s="1">
        <f t="shared" si="2"/>
        <v>65487.176137793314</v>
      </c>
    </row>
    <row r="42" spans="2:8" x14ac:dyDescent="0.35">
      <c r="B42" s="2">
        <v>22</v>
      </c>
      <c r="C42" s="5">
        <f t="shared" si="3"/>
        <v>44562</v>
      </c>
      <c r="D42" s="1">
        <f t="shared" si="4"/>
        <v>5728.5157464912763</v>
      </c>
      <c r="E42" s="4"/>
      <c r="F42" s="1">
        <f t="shared" si="0"/>
        <v>109.14529356298887</v>
      </c>
      <c r="G42" s="1">
        <f t="shared" si="1"/>
        <v>5619.3704529282877</v>
      </c>
      <c r="H42" s="1">
        <f t="shared" si="2"/>
        <v>59867.80568486503</v>
      </c>
    </row>
    <row r="43" spans="2:8" x14ac:dyDescent="0.35">
      <c r="B43" s="2">
        <v>23</v>
      </c>
      <c r="C43" s="5">
        <f t="shared" si="3"/>
        <v>44593</v>
      </c>
      <c r="D43" s="1">
        <f t="shared" si="4"/>
        <v>5728.5157464912763</v>
      </c>
      <c r="E43" s="4"/>
      <c r="F43" s="1">
        <f t="shared" si="0"/>
        <v>99.779676141441726</v>
      </c>
      <c r="G43" s="1">
        <f t="shared" si="1"/>
        <v>5628.7360703498343</v>
      </c>
      <c r="H43" s="1">
        <f t="shared" si="2"/>
        <v>54239.069614515196</v>
      </c>
    </row>
    <row r="44" spans="2:8" x14ac:dyDescent="0.35">
      <c r="B44" s="2">
        <v>24</v>
      </c>
      <c r="C44" s="5">
        <f t="shared" si="3"/>
        <v>44621</v>
      </c>
      <c r="D44" s="1">
        <f t="shared" si="4"/>
        <v>5728.5157464912763</v>
      </c>
      <c r="E44" s="4"/>
      <c r="F44" s="1">
        <f t="shared" si="0"/>
        <v>90.398449357525337</v>
      </c>
      <c r="G44" s="1">
        <f t="shared" si="1"/>
        <v>5638.117297133751</v>
      </c>
      <c r="H44" s="1">
        <f t="shared" si="2"/>
        <v>48600.952317381445</v>
      </c>
    </row>
    <row r="45" spans="2:8" x14ac:dyDescent="0.35">
      <c r="B45" s="52">
        <v>25</v>
      </c>
      <c r="C45" s="5">
        <f t="shared" si="3"/>
        <v>44652</v>
      </c>
      <c r="D45" s="1">
        <f t="shared" si="4"/>
        <v>5728.5157464912763</v>
      </c>
      <c r="E45" s="4"/>
      <c r="F45" s="1">
        <f t="shared" si="0"/>
        <v>81.00158719563575</v>
      </c>
      <c r="G45" s="1">
        <f t="shared" si="1"/>
        <v>5647.5141592956406</v>
      </c>
      <c r="H45" s="1">
        <f t="shared" si="2"/>
        <v>42953.438158085803</v>
      </c>
    </row>
    <row r="46" spans="2:8" x14ac:dyDescent="0.35">
      <c r="B46" s="52">
        <v>26</v>
      </c>
      <c r="C46" s="5">
        <f t="shared" si="3"/>
        <v>44682</v>
      </c>
      <c r="D46" s="1">
        <f t="shared" si="4"/>
        <v>5728.5157464912763</v>
      </c>
      <c r="E46" s="4"/>
      <c r="F46" s="1">
        <f t="shared" si="0"/>
        <v>71.58906359680968</v>
      </c>
      <c r="G46" s="1">
        <f t="shared" si="1"/>
        <v>5656.9266828944665</v>
      </c>
      <c r="H46" s="1">
        <f t="shared" si="2"/>
        <v>37296.511475191335</v>
      </c>
    </row>
    <row r="47" spans="2:8" x14ac:dyDescent="0.35">
      <c r="B47" s="52">
        <v>27</v>
      </c>
      <c r="C47" s="5">
        <f t="shared" si="3"/>
        <v>44713</v>
      </c>
      <c r="D47" s="1">
        <f t="shared" si="4"/>
        <v>5728.5157464912763</v>
      </c>
      <c r="E47" s="4"/>
      <c r="F47" s="1">
        <f t="shared" si="0"/>
        <v>62.160852458652229</v>
      </c>
      <c r="G47" s="1">
        <f t="shared" si="1"/>
        <v>5666.3548940326245</v>
      </c>
      <c r="H47" s="1">
        <f t="shared" si="2"/>
        <v>31630.15658115871</v>
      </c>
    </row>
    <row r="48" spans="2:8" x14ac:dyDescent="0.35">
      <c r="B48" s="52">
        <v>28</v>
      </c>
      <c r="C48" s="5">
        <f t="shared" si="3"/>
        <v>44743</v>
      </c>
      <c r="D48" s="1">
        <f t="shared" si="4"/>
        <v>5728.5157464912763</v>
      </c>
      <c r="E48" s="4"/>
      <c r="F48" s="1">
        <f t="shared" si="0"/>
        <v>52.716927635264518</v>
      </c>
      <c r="G48" s="1">
        <f t="shared" si="1"/>
        <v>5675.7988188560121</v>
      </c>
      <c r="H48" s="1">
        <f t="shared" si="2"/>
        <v>25954.357762302698</v>
      </c>
    </row>
    <row r="49" spans="2:8" x14ac:dyDescent="0.35">
      <c r="B49" s="52">
        <v>29</v>
      </c>
      <c r="C49" s="5">
        <f t="shared" si="3"/>
        <v>44774</v>
      </c>
      <c r="D49" s="1">
        <f t="shared" si="4"/>
        <v>5728.5157464912763</v>
      </c>
      <c r="E49" s="4"/>
      <c r="F49" s="1">
        <f t="shared" si="0"/>
        <v>43.257262937171163</v>
      </c>
      <c r="G49" s="1">
        <f t="shared" si="1"/>
        <v>5685.2584835541056</v>
      </c>
      <c r="H49" s="1">
        <f t="shared" si="2"/>
        <v>20269.099278748592</v>
      </c>
    </row>
    <row r="50" spans="2:8" x14ac:dyDescent="0.35">
      <c r="B50" s="52">
        <v>30</v>
      </c>
      <c r="C50" s="5">
        <f t="shared" si="3"/>
        <v>44805</v>
      </c>
      <c r="D50" s="1">
        <f t="shared" si="4"/>
        <v>5728.5157464912763</v>
      </c>
      <c r="E50" s="4"/>
      <c r="F50" s="1">
        <f t="shared" si="0"/>
        <v>33.781832131247654</v>
      </c>
      <c r="G50" s="1">
        <f t="shared" si="1"/>
        <v>5694.7339143600284</v>
      </c>
      <c r="H50" s="1">
        <f t="shared" si="2"/>
        <v>14574.365364388563</v>
      </c>
    </row>
    <row r="51" spans="2:8" x14ac:dyDescent="0.35">
      <c r="B51" s="52">
        <v>31</v>
      </c>
      <c r="C51" s="5">
        <f t="shared" si="3"/>
        <v>44835</v>
      </c>
      <c r="D51" s="1">
        <f t="shared" si="4"/>
        <v>5728.5157464912763</v>
      </c>
      <c r="E51" s="4"/>
      <c r="F51" s="1">
        <f t="shared" si="0"/>
        <v>24.290608940647605</v>
      </c>
      <c r="G51" s="1">
        <f t="shared" si="1"/>
        <v>5704.2251375506285</v>
      </c>
      <c r="H51" s="1">
        <f t="shared" si="2"/>
        <v>8870.1402268379352</v>
      </c>
    </row>
    <row r="52" spans="2:8" x14ac:dyDescent="0.35">
      <c r="B52" s="52">
        <v>32</v>
      </c>
      <c r="C52" s="5">
        <f t="shared" si="3"/>
        <v>44866</v>
      </c>
      <c r="D52" s="1">
        <f t="shared" si="4"/>
        <v>5728.5157464912763</v>
      </c>
      <c r="E52" s="4"/>
      <c r="F52" s="1">
        <f t="shared" si="0"/>
        <v>14.783567044729892</v>
      </c>
      <c r="G52" s="1">
        <f t="shared" si="1"/>
        <v>5713.7321794465461</v>
      </c>
      <c r="H52" s="1">
        <f t="shared" si="2"/>
        <v>3156.4080473913891</v>
      </c>
    </row>
    <row r="53" spans="2:8" x14ac:dyDescent="0.35">
      <c r="B53" s="52">
        <v>33</v>
      </c>
      <c r="C53" s="5">
        <f t="shared" si="3"/>
        <v>44896</v>
      </c>
      <c r="D53" s="1">
        <f t="shared" si="4"/>
        <v>3161.668727470375</v>
      </c>
      <c r="E53" s="4"/>
      <c r="F53" s="1">
        <f t="shared" si="0"/>
        <v>5.2606800789856489</v>
      </c>
      <c r="G53" s="1">
        <f t="shared" si="1"/>
        <v>3156.4080473913891</v>
      </c>
      <c r="H53" s="1">
        <f t="shared" si="2"/>
        <v>0</v>
      </c>
    </row>
    <row r="54" spans="2:8" x14ac:dyDescent="0.35">
      <c r="B54" s="52">
        <v>34</v>
      </c>
      <c r="C54" s="5">
        <f t="shared" si="3"/>
        <v>44927</v>
      </c>
      <c r="D54" s="1">
        <f t="shared" si="4"/>
        <v>0</v>
      </c>
      <c r="E54" s="4"/>
      <c r="F54" s="1">
        <f t="shared" si="0"/>
        <v>0</v>
      </c>
      <c r="G54" s="1">
        <f t="shared" si="1"/>
        <v>0</v>
      </c>
      <c r="H54" s="1">
        <f t="shared" si="2"/>
        <v>0</v>
      </c>
    </row>
    <row r="55" spans="2:8" x14ac:dyDescent="0.35">
      <c r="B55" s="52">
        <v>35</v>
      </c>
      <c r="C55" s="5">
        <f t="shared" si="3"/>
        <v>44958</v>
      </c>
      <c r="D55" s="1">
        <f t="shared" si="4"/>
        <v>0</v>
      </c>
      <c r="E55" s="4"/>
      <c r="F55" s="1">
        <f t="shared" si="0"/>
        <v>0</v>
      </c>
      <c r="G55" s="1">
        <f t="shared" si="1"/>
        <v>0</v>
      </c>
      <c r="H55" s="1">
        <f t="shared" si="2"/>
        <v>0</v>
      </c>
    </row>
    <row r="56" spans="2:8" x14ac:dyDescent="0.35">
      <c r="B56" s="52">
        <v>36</v>
      </c>
      <c r="C56" s="5">
        <f t="shared" si="3"/>
        <v>44986</v>
      </c>
      <c r="D56" s="1">
        <f t="shared" si="4"/>
        <v>0</v>
      </c>
      <c r="E56" s="4"/>
      <c r="F56" s="1">
        <f t="shared" si="0"/>
        <v>0</v>
      </c>
      <c r="G56" s="1">
        <f t="shared" si="1"/>
        <v>0</v>
      </c>
      <c r="H56" s="1">
        <f t="shared" si="2"/>
        <v>0</v>
      </c>
    </row>
    <row r="57" spans="2:8" x14ac:dyDescent="0.35">
      <c r="C57" s="5" t="str">
        <f t="shared" si="3"/>
        <v/>
      </c>
      <c r="D57" s="1" t="str">
        <f t="shared" si="4"/>
        <v/>
      </c>
      <c r="E57" s="4"/>
      <c r="F57" s="1" t="str">
        <f t="shared" si="0"/>
        <v/>
      </c>
      <c r="G57" s="1" t="str">
        <f t="shared" si="1"/>
        <v/>
      </c>
      <c r="H57" s="1" t="str">
        <f t="shared" si="2"/>
        <v/>
      </c>
    </row>
    <row r="58" spans="2:8" x14ac:dyDescent="0.35">
      <c r="C58" s="5" t="str">
        <f t="shared" si="3"/>
        <v/>
      </c>
      <c r="D58" s="1" t="str">
        <f t="shared" si="4"/>
        <v/>
      </c>
      <c r="E58" s="4"/>
      <c r="F58" s="1" t="str">
        <f t="shared" si="0"/>
        <v/>
      </c>
      <c r="G58" s="1" t="str">
        <f t="shared" si="1"/>
        <v/>
      </c>
      <c r="H58" s="1" t="str">
        <f t="shared" si="2"/>
        <v/>
      </c>
    </row>
    <row r="59" spans="2:8" x14ac:dyDescent="0.35">
      <c r="C59" s="5" t="str">
        <f t="shared" si="3"/>
        <v/>
      </c>
      <c r="D59" s="1" t="str">
        <f t="shared" si="4"/>
        <v/>
      </c>
      <c r="E59" s="4"/>
      <c r="F59" s="1" t="str">
        <f t="shared" si="0"/>
        <v/>
      </c>
      <c r="G59" s="1" t="str">
        <f t="shared" si="1"/>
        <v/>
      </c>
      <c r="H59" s="1" t="str">
        <f t="shared" si="2"/>
        <v/>
      </c>
    </row>
    <row r="60" spans="2:8" x14ac:dyDescent="0.35">
      <c r="C60" s="5" t="str">
        <f t="shared" si="3"/>
        <v/>
      </c>
      <c r="D60" s="1" t="str">
        <f t="shared" si="4"/>
        <v/>
      </c>
      <c r="E60" s="4"/>
      <c r="F60" s="1" t="str">
        <f t="shared" si="0"/>
        <v/>
      </c>
      <c r="G60" s="1" t="str">
        <f t="shared" si="1"/>
        <v/>
      </c>
      <c r="H60" s="1" t="str">
        <f t="shared" si="2"/>
        <v/>
      </c>
    </row>
    <row r="61" spans="2:8" x14ac:dyDescent="0.35">
      <c r="C61" s="5" t="str">
        <f t="shared" si="3"/>
        <v/>
      </c>
      <c r="D61" s="1" t="str">
        <f t="shared" si="4"/>
        <v/>
      </c>
      <c r="E61" s="4"/>
      <c r="F61" s="1" t="str">
        <f t="shared" si="0"/>
        <v/>
      </c>
      <c r="G61" s="1" t="str">
        <f t="shared" si="1"/>
        <v/>
      </c>
      <c r="H61" s="1" t="str">
        <f t="shared" si="2"/>
        <v/>
      </c>
    </row>
    <row r="62" spans="2:8" x14ac:dyDescent="0.35">
      <c r="C62" s="5" t="str">
        <f t="shared" si="3"/>
        <v/>
      </c>
      <c r="D62" s="1" t="str">
        <f t="shared" si="4"/>
        <v/>
      </c>
      <c r="E62" s="4"/>
      <c r="F62" s="1" t="str">
        <f t="shared" si="0"/>
        <v/>
      </c>
      <c r="G62" s="1" t="str">
        <f t="shared" si="1"/>
        <v/>
      </c>
      <c r="H62" s="1" t="str">
        <f t="shared" si="2"/>
        <v/>
      </c>
    </row>
    <row r="63" spans="2:8" x14ac:dyDescent="0.35">
      <c r="C63" s="5" t="str">
        <f t="shared" si="3"/>
        <v/>
      </c>
      <c r="D63" s="1" t="str">
        <f t="shared" si="4"/>
        <v/>
      </c>
      <c r="E63" s="4"/>
      <c r="F63" s="1" t="str">
        <f t="shared" si="0"/>
        <v/>
      </c>
      <c r="G63" s="1" t="str">
        <f t="shared" si="1"/>
        <v/>
      </c>
      <c r="H63" s="1" t="str">
        <f t="shared" si="2"/>
        <v/>
      </c>
    </row>
    <row r="64" spans="2:8" x14ac:dyDescent="0.35">
      <c r="C64" s="5" t="str">
        <f t="shared" si="3"/>
        <v/>
      </c>
      <c r="D64" s="1" t="str">
        <f t="shared" si="4"/>
        <v/>
      </c>
      <c r="E64" s="4"/>
      <c r="F64" s="1" t="str">
        <f t="shared" si="0"/>
        <v/>
      </c>
      <c r="G64" s="1" t="str">
        <f t="shared" si="1"/>
        <v/>
      </c>
      <c r="H64" s="1" t="str">
        <f t="shared" si="2"/>
        <v/>
      </c>
    </row>
    <row r="65" spans="3:8" x14ac:dyDescent="0.35">
      <c r="C65" s="5" t="str">
        <f t="shared" si="3"/>
        <v/>
      </c>
      <c r="D65" s="1" t="str">
        <f t="shared" si="4"/>
        <v/>
      </c>
      <c r="E65" s="4"/>
      <c r="F65" s="1" t="str">
        <f t="shared" si="0"/>
        <v/>
      </c>
      <c r="G65" s="1" t="str">
        <f t="shared" si="1"/>
        <v/>
      </c>
      <c r="H65" s="1" t="str">
        <f t="shared" si="2"/>
        <v/>
      </c>
    </row>
    <row r="66" spans="3:8" x14ac:dyDescent="0.35">
      <c r="C66" s="5" t="str">
        <f t="shared" si="3"/>
        <v/>
      </c>
      <c r="D66" s="1" t="str">
        <f t="shared" si="4"/>
        <v/>
      </c>
      <c r="E66" s="4"/>
      <c r="F66" s="1" t="str">
        <f t="shared" si="0"/>
        <v/>
      </c>
      <c r="G66" s="1" t="str">
        <f t="shared" si="1"/>
        <v/>
      </c>
      <c r="H66" s="1" t="str">
        <f t="shared" si="2"/>
        <v/>
      </c>
    </row>
    <row r="67" spans="3:8" x14ac:dyDescent="0.35">
      <c r="C67" s="5" t="str">
        <f t="shared" si="3"/>
        <v/>
      </c>
      <c r="D67" s="1" t="str">
        <f t="shared" si="4"/>
        <v/>
      </c>
      <c r="E67" s="4"/>
      <c r="F67" s="1" t="str">
        <f t="shared" si="0"/>
        <v/>
      </c>
      <c r="G67" s="1" t="str">
        <f t="shared" si="1"/>
        <v/>
      </c>
      <c r="H67" s="1" t="str">
        <f t="shared" si="2"/>
        <v/>
      </c>
    </row>
    <row r="68" spans="3:8" x14ac:dyDescent="0.35">
      <c r="C68" s="5" t="str">
        <f t="shared" si="3"/>
        <v/>
      </c>
      <c r="D68" s="1" t="str">
        <f t="shared" si="4"/>
        <v/>
      </c>
      <c r="E68" s="4"/>
      <c r="F68" s="1" t="str">
        <f t="shared" si="0"/>
        <v/>
      </c>
      <c r="G68" s="1" t="str">
        <f t="shared" si="1"/>
        <v/>
      </c>
      <c r="H68" s="1" t="str">
        <f t="shared" si="2"/>
        <v/>
      </c>
    </row>
    <row r="69" spans="3:8" x14ac:dyDescent="0.35">
      <c r="C69" s="5" t="str">
        <f t="shared" si="3"/>
        <v/>
      </c>
      <c r="D69" s="1" t="str">
        <f t="shared" si="4"/>
        <v/>
      </c>
      <c r="E69" s="4"/>
      <c r="F69" s="1" t="str">
        <f t="shared" si="0"/>
        <v/>
      </c>
      <c r="G69" s="1" t="str">
        <f t="shared" si="1"/>
        <v/>
      </c>
      <c r="H69" s="1" t="str">
        <f t="shared" si="2"/>
        <v/>
      </c>
    </row>
    <row r="70" spans="3:8" x14ac:dyDescent="0.35">
      <c r="C70" s="5" t="str">
        <f t="shared" si="3"/>
        <v/>
      </c>
      <c r="D70" s="1" t="str">
        <f t="shared" si="4"/>
        <v/>
      </c>
      <c r="E70" s="4"/>
      <c r="F70" s="1" t="str">
        <f t="shared" si="0"/>
        <v/>
      </c>
      <c r="G70" s="1" t="str">
        <f t="shared" si="1"/>
        <v/>
      </c>
      <c r="H70" s="1" t="str">
        <f t="shared" si="2"/>
        <v/>
      </c>
    </row>
    <row r="71" spans="3:8" x14ac:dyDescent="0.35">
      <c r="C71" s="5" t="str">
        <f t="shared" si="3"/>
        <v/>
      </c>
      <c r="D71" s="1" t="str">
        <f t="shared" si="4"/>
        <v/>
      </c>
      <c r="E71" s="4"/>
      <c r="F71" s="1" t="str">
        <f t="shared" si="0"/>
        <v/>
      </c>
      <c r="G71" s="1" t="str">
        <f t="shared" si="1"/>
        <v/>
      </c>
      <c r="H71" s="1" t="str">
        <f t="shared" si="2"/>
        <v/>
      </c>
    </row>
    <row r="72" spans="3:8" x14ac:dyDescent="0.35">
      <c r="C72" s="5" t="str">
        <f t="shared" si="3"/>
        <v/>
      </c>
      <c r="D72" s="1" t="str">
        <f t="shared" si="4"/>
        <v/>
      </c>
      <c r="E72" s="4"/>
      <c r="F72" s="1" t="str">
        <f t="shared" si="0"/>
        <v/>
      </c>
      <c r="G72" s="1" t="str">
        <f t="shared" si="1"/>
        <v/>
      </c>
      <c r="H72" s="1" t="str">
        <f t="shared" si="2"/>
        <v/>
      </c>
    </row>
    <row r="73" spans="3:8" x14ac:dyDescent="0.35">
      <c r="C73" s="5" t="str">
        <f t="shared" si="3"/>
        <v/>
      </c>
      <c r="D73" s="1" t="str">
        <f t="shared" si="4"/>
        <v/>
      </c>
      <c r="E73" s="4"/>
      <c r="F73" s="1" t="str">
        <f t="shared" si="0"/>
        <v/>
      </c>
      <c r="G73" s="1" t="str">
        <f t="shared" si="1"/>
        <v/>
      </c>
      <c r="H73" s="1" t="str">
        <f t="shared" si="2"/>
        <v/>
      </c>
    </row>
    <row r="74" spans="3:8" x14ac:dyDescent="0.35">
      <c r="C74" s="5" t="str">
        <f t="shared" si="3"/>
        <v/>
      </c>
      <c r="D74" s="1" t="str">
        <f t="shared" si="4"/>
        <v/>
      </c>
      <c r="E74" s="4"/>
      <c r="F74" s="1" t="str">
        <f t="shared" si="0"/>
        <v/>
      </c>
      <c r="G74" s="1" t="str">
        <f t="shared" si="1"/>
        <v/>
      </c>
      <c r="H74" s="1" t="str">
        <f t="shared" si="2"/>
        <v/>
      </c>
    </row>
    <row r="75" spans="3:8" x14ac:dyDescent="0.35">
      <c r="C75" s="5" t="str">
        <f t="shared" si="3"/>
        <v/>
      </c>
      <c r="D75" s="1" t="str">
        <f t="shared" si="4"/>
        <v/>
      </c>
      <c r="E75" s="4"/>
      <c r="F75" s="1" t="str">
        <f t="shared" si="0"/>
        <v/>
      </c>
      <c r="G75" s="1" t="str">
        <f t="shared" si="1"/>
        <v/>
      </c>
      <c r="H75" s="1" t="str">
        <f t="shared" si="2"/>
        <v/>
      </c>
    </row>
    <row r="76" spans="3:8" x14ac:dyDescent="0.35">
      <c r="C76" s="5" t="str">
        <f t="shared" si="3"/>
        <v/>
      </c>
      <c r="D76" s="1" t="str">
        <f t="shared" si="4"/>
        <v/>
      </c>
      <c r="E76" s="4"/>
      <c r="F76" s="1" t="str">
        <f t="shared" si="0"/>
        <v/>
      </c>
      <c r="G76" s="1" t="str">
        <f t="shared" si="1"/>
        <v/>
      </c>
      <c r="H76" s="1" t="str">
        <f t="shared" si="2"/>
        <v/>
      </c>
    </row>
    <row r="77" spans="3:8" x14ac:dyDescent="0.35">
      <c r="C77" s="5" t="str">
        <f t="shared" si="3"/>
        <v/>
      </c>
      <c r="D77" s="1" t="str">
        <f t="shared" si="4"/>
        <v/>
      </c>
      <c r="E77" s="4"/>
      <c r="F77" s="1" t="str">
        <f t="shared" si="0"/>
        <v/>
      </c>
      <c r="G77" s="1" t="str">
        <f t="shared" si="1"/>
        <v/>
      </c>
      <c r="H77" s="1" t="str">
        <f t="shared" si="2"/>
        <v/>
      </c>
    </row>
    <row r="78" spans="3:8" x14ac:dyDescent="0.35">
      <c r="C78" s="5" t="str">
        <f t="shared" si="3"/>
        <v/>
      </c>
      <c r="D78" s="1" t="str">
        <f t="shared" si="4"/>
        <v/>
      </c>
      <c r="E78" s="4"/>
      <c r="F78" s="1" t="str">
        <f t="shared" si="0"/>
        <v/>
      </c>
      <c r="G78" s="1" t="str">
        <f t="shared" si="1"/>
        <v/>
      </c>
      <c r="H78" s="1" t="str">
        <f t="shared" si="2"/>
        <v/>
      </c>
    </row>
    <row r="79" spans="3:8" x14ac:dyDescent="0.35">
      <c r="C79" s="5" t="str">
        <f t="shared" si="3"/>
        <v/>
      </c>
      <c r="D79" s="1" t="str">
        <f t="shared" si="4"/>
        <v/>
      </c>
      <c r="E79" s="4"/>
      <c r="F79" s="1" t="str">
        <f t="shared" si="0"/>
        <v/>
      </c>
      <c r="G79" s="1" t="str">
        <f t="shared" si="1"/>
        <v/>
      </c>
      <c r="H79" s="1" t="str">
        <f t="shared" si="2"/>
        <v/>
      </c>
    </row>
    <row r="80" spans="3:8" x14ac:dyDescent="0.35">
      <c r="C80" s="5" t="str">
        <f t="shared" si="3"/>
        <v/>
      </c>
      <c r="D80" s="1" t="str">
        <f t="shared" si="4"/>
        <v/>
      </c>
      <c r="E80" s="4"/>
      <c r="F80" s="1" t="str">
        <f t="shared" si="0"/>
        <v/>
      </c>
      <c r="G80" s="1" t="str">
        <f t="shared" si="1"/>
        <v/>
      </c>
      <c r="H80" s="1" t="str">
        <f t="shared" si="2"/>
        <v/>
      </c>
    </row>
    <row r="81" spans="3:8" x14ac:dyDescent="0.35">
      <c r="C81" s="5" t="str">
        <f t="shared" si="3"/>
        <v/>
      </c>
      <c r="D81" s="1" t="str">
        <f t="shared" si="4"/>
        <v/>
      </c>
      <c r="E81" s="4"/>
      <c r="F81" s="1" t="str">
        <f t="shared" si="0"/>
        <v/>
      </c>
      <c r="G81" s="1" t="str">
        <f t="shared" si="1"/>
        <v/>
      </c>
      <c r="H81" s="1" t="str">
        <f t="shared" si="2"/>
        <v/>
      </c>
    </row>
    <row r="82" spans="3:8" x14ac:dyDescent="0.35">
      <c r="C82" s="5" t="str">
        <f t="shared" si="3"/>
        <v/>
      </c>
      <c r="D82" s="1" t="str">
        <f t="shared" si="4"/>
        <v/>
      </c>
      <c r="E82" s="4"/>
      <c r="F82" s="1" t="str">
        <f t="shared" si="0"/>
        <v/>
      </c>
      <c r="G82" s="1" t="str">
        <f t="shared" si="1"/>
        <v/>
      </c>
      <c r="H82" s="1" t="str">
        <f t="shared" si="2"/>
        <v/>
      </c>
    </row>
    <row r="83" spans="3:8" x14ac:dyDescent="0.35">
      <c r="C83" s="5" t="str">
        <f t="shared" si="3"/>
        <v/>
      </c>
      <c r="D83" s="1" t="str">
        <f t="shared" si="4"/>
        <v/>
      </c>
      <c r="E83" s="4"/>
      <c r="F83" s="1" t="str">
        <f t="shared" si="0"/>
        <v/>
      </c>
      <c r="G83" s="1" t="str">
        <f t="shared" si="1"/>
        <v/>
      </c>
      <c r="H83" s="1" t="str">
        <f t="shared" si="2"/>
        <v/>
      </c>
    </row>
    <row r="84" spans="3:8" x14ac:dyDescent="0.35">
      <c r="C84" s="5" t="str">
        <f t="shared" si="3"/>
        <v/>
      </c>
      <c r="D84" s="1" t="str">
        <f t="shared" si="4"/>
        <v/>
      </c>
      <c r="E84" s="4"/>
      <c r="F84" s="1" t="str">
        <f t="shared" si="0"/>
        <v/>
      </c>
      <c r="G84" s="1" t="str">
        <f t="shared" si="1"/>
        <v/>
      </c>
      <c r="H84" s="1" t="str">
        <f t="shared" si="2"/>
        <v/>
      </c>
    </row>
    <row r="85" spans="3:8" x14ac:dyDescent="0.35">
      <c r="C85" s="5" t="str">
        <f t="shared" si="3"/>
        <v/>
      </c>
      <c r="D85" s="1" t="str">
        <f t="shared" si="4"/>
        <v/>
      </c>
      <c r="E85" s="4"/>
      <c r="F85" s="1" t="str">
        <f t="shared" si="0"/>
        <v/>
      </c>
      <c r="G85" s="1" t="str">
        <f t="shared" si="1"/>
        <v/>
      </c>
      <c r="H85" s="1" t="str">
        <f t="shared" si="2"/>
        <v/>
      </c>
    </row>
    <row r="86" spans="3:8" x14ac:dyDescent="0.35">
      <c r="C86" s="5" t="str">
        <f t="shared" si="3"/>
        <v/>
      </c>
      <c r="D86" s="1" t="str">
        <f t="shared" si="4"/>
        <v/>
      </c>
      <c r="E86" s="4"/>
      <c r="F86" s="1" t="str">
        <f t="shared" ref="F86:F149" si="5">IF(B86="","",H85*$H$8)</f>
        <v/>
      </c>
      <c r="G86" s="1" t="str">
        <f t="shared" ref="G86:G149" si="6">IF(B86="","",D86-F86)</f>
        <v/>
      </c>
      <c r="H86" s="1" t="str">
        <f t="shared" ref="H86:H149" si="7">IF(B86="","",H85-G86-E86)</f>
        <v/>
      </c>
    </row>
    <row r="87" spans="3:8" x14ac:dyDescent="0.35">
      <c r="C87" s="5" t="str">
        <f t="shared" ref="C87:C150" si="8">IF(B87="","",EOMONTH(C86,0)+1)</f>
        <v/>
      </c>
      <c r="D87" s="1" t="str">
        <f t="shared" ref="D87:D150" si="9">IF(B87="","",MIN(H86+F87,$D$15))</f>
        <v/>
      </c>
      <c r="E87" s="4"/>
      <c r="F87" s="1" t="str">
        <f t="shared" si="5"/>
        <v/>
      </c>
      <c r="G87" s="1" t="str">
        <f t="shared" si="6"/>
        <v/>
      </c>
      <c r="H87" s="1" t="str">
        <f t="shared" si="7"/>
        <v/>
      </c>
    </row>
    <row r="88" spans="3:8" x14ac:dyDescent="0.35">
      <c r="C88" s="5" t="str">
        <f t="shared" si="8"/>
        <v/>
      </c>
      <c r="D88" s="1" t="str">
        <f t="shared" si="9"/>
        <v/>
      </c>
      <c r="E88" s="4"/>
      <c r="F88" s="1" t="str">
        <f t="shared" si="5"/>
        <v/>
      </c>
      <c r="G88" s="1" t="str">
        <f t="shared" si="6"/>
        <v/>
      </c>
      <c r="H88" s="1" t="str">
        <f t="shared" si="7"/>
        <v/>
      </c>
    </row>
    <row r="89" spans="3:8" x14ac:dyDescent="0.35">
      <c r="C89" s="5" t="str">
        <f t="shared" si="8"/>
        <v/>
      </c>
      <c r="D89" s="1" t="str">
        <f t="shared" si="9"/>
        <v/>
      </c>
      <c r="E89" s="4"/>
      <c r="F89" s="1" t="str">
        <f t="shared" si="5"/>
        <v/>
      </c>
      <c r="G89" s="1" t="str">
        <f t="shared" si="6"/>
        <v/>
      </c>
      <c r="H89" s="1" t="str">
        <f t="shared" si="7"/>
        <v/>
      </c>
    </row>
    <row r="90" spans="3:8" x14ac:dyDescent="0.35">
      <c r="C90" s="5" t="str">
        <f t="shared" si="8"/>
        <v/>
      </c>
      <c r="D90" s="1" t="str">
        <f t="shared" si="9"/>
        <v/>
      </c>
      <c r="E90" s="4"/>
      <c r="F90" s="1" t="str">
        <f t="shared" si="5"/>
        <v/>
      </c>
      <c r="G90" s="1" t="str">
        <f t="shared" si="6"/>
        <v/>
      </c>
      <c r="H90" s="1" t="str">
        <f t="shared" si="7"/>
        <v/>
      </c>
    </row>
    <row r="91" spans="3:8" x14ac:dyDescent="0.35">
      <c r="C91" s="5" t="str">
        <f t="shared" si="8"/>
        <v/>
      </c>
      <c r="D91" s="1" t="str">
        <f t="shared" si="9"/>
        <v/>
      </c>
      <c r="E91" s="4"/>
      <c r="F91" s="1" t="str">
        <f t="shared" si="5"/>
        <v/>
      </c>
      <c r="G91" s="1" t="str">
        <f t="shared" si="6"/>
        <v/>
      </c>
      <c r="H91" s="1" t="str">
        <f t="shared" si="7"/>
        <v/>
      </c>
    </row>
    <row r="92" spans="3:8" x14ac:dyDescent="0.35">
      <c r="C92" s="5" t="str">
        <f t="shared" si="8"/>
        <v/>
      </c>
      <c r="D92" s="1" t="str">
        <f t="shared" si="9"/>
        <v/>
      </c>
      <c r="E92" s="4"/>
      <c r="F92" s="1" t="str">
        <f t="shared" si="5"/>
        <v/>
      </c>
      <c r="G92" s="1" t="str">
        <f t="shared" si="6"/>
        <v/>
      </c>
      <c r="H92" s="1" t="str">
        <f t="shared" si="7"/>
        <v/>
      </c>
    </row>
    <row r="93" spans="3:8" x14ac:dyDescent="0.35">
      <c r="C93" s="5" t="str">
        <f t="shared" si="8"/>
        <v/>
      </c>
      <c r="D93" s="1" t="str">
        <f t="shared" si="9"/>
        <v/>
      </c>
      <c r="E93" s="4"/>
      <c r="F93" s="1" t="str">
        <f t="shared" si="5"/>
        <v/>
      </c>
      <c r="G93" s="1" t="str">
        <f t="shared" si="6"/>
        <v/>
      </c>
      <c r="H93" s="1" t="str">
        <f t="shared" si="7"/>
        <v/>
      </c>
    </row>
    <row r="94" spans="3:8" x14ac:dyDescent="0.35">
      <c r="C94" s="5" t="str">
        <f t="shared" si="8"/>
        <v/>
      </c>
      <c r="D94" s="1" t="str">
        <f t="shared" si="9"/>
        <v/>
      </c>
      <c r="E94" s="4"/>
      <c r="F94" s="1" t="str">
        <f t="shared" si="5"/>
        <v/>
      </c>
      <c r="G94" s="1" t="str">
        <f t="shared" si="6"/>
        <v/>
      </c>
      <c r="H94" s="1" t="str">
        <f t="shared" si="7"/>
        <v/>
      </c>
    </row>
    <row r="95" spans="3:8" x14ac:dyDescent="0.35">
      <c r="C95" s="5" t="str">
        <f t="shared" si="8"/>
        <v/>
      </c>
      <c r="D95" s="1" t="str">
        <f t="shared" si="9"/>
        <v/>
      </c>
      <c r="E95" s="4"/>
      <c r="F95" s="1" t="str">
        <f t="shared" si="5"/>
        <v/>
      </c>
      <c r="G95" s="1" t="str">
        <f t="shared" si="6"/>
        <v/>
      </c>
      <c r="H95" s="1" t="str">
        <f t="shared" si="7"/>
        <v/>
      </c>
    </row>
    <row r="96" spans="3:8" x14ac:dyDescent="0.35">
      <c r="C96" s="5" t="str">
        <f t="shared" si="8"/>
        <v/>
      </c>
      <c r="D96" s="1" t="str">
        <f t="shared" si="9"/>
        <v/>
      </c>
      <c r="E96" s="4"/>
      <c r="F96" s="1" t="str">
        <f t="shared" si="5"/>
        <v/>
      </c>
      <c r="G96" s="1" t="str">
        <f t="shared" si="6"/>
        <v/>
      </c>
      <c r="H96" s="1" t="str">
        <f t="shared" si="7"/>
        <v/>
      </c>
    </row>
    <row r="97" spans="3:8" x14ac:dyDescent="0.35">
      <c r="C97" s="5" t="str">
        <f t="shared" si="8"/>
        <v/>
      </c>
      <c r="D97" s="1" t="str">
        <f t="shared" si="9"/>
        <v/>
      </c>
      <c r="E97" s="4"/>
      <c r="F97" s="1" t="str">
        <f t="shared" si="5"/>
        <v/>
      </c>
      <c r="G97" s="1" t="str">
        <f t="shared" si="6"/>
        <v/>
      </c>
      <c r="H97" s="1" t="str">
        <f t="shared" si="7"/>
        <v/>
      </c>
    </row>
    <row r="98" spans="3:8" x14ac:dyDescent="0.35">
      <c r="C98" s="5" t="str">
        <f t="shared" si="8"/>
        <v/>
      </c>
      <c r="D98" s="1" t="str">
        <f t="shared" si="9"/>
        <v/>
      </c>
      <c r="E98" s="4"/>
      <c r="F98" s="1" t="str">
        <f t="shared" si="5"/>
        <v/>
      </c>
      <c r="G98" s="1" t="str">
        <f t="shared" si="6"/>
        <v/>
      </c>
      <c r="H98" s="1" t="str">
        <f t="shared" si="7"/>
        <v/>
      </c>
    </row>
    <row r="99" spans="3:8" x14ac:dyDescent="0.35">
      <c r="C99" s="5" t="str">
        <f t="shared" si="8"/>
        <v/>
      </c>
      <c r="D99" s="1" t="str">
        <f t="shared" si="9"/>
        <v/>
      </c>
      <c r="E99" s="4"/>
      <c r="F99" s="1" t="str">
        <f t="shared" si="5"/>
        <v/>
      </c>
      <c r="G99" s="1" t="str">
        <f t="shared" si="6"/>
        <v/>
      </c>
      <c r="H99" s="1" t="str">
        <f t="shared" si="7"/>
        <v/>
      </c>
    </row>
    <row r="100" spans="3:8" x14ac:dyDescent="0.35">
      <c r="C100" s="5" t="str">
        <f t="shared" si="8"/>
        <v/>
      </c>
      <c r="D100" s="1" t="str">
        <f t="shared" si="9"/>
        <v/>
      </c>
      <c r="E100" s="4"/>
      <c r="F100" s="1" t="str">
        <f t="shared" si="5"/>
        <v/>
      </c>
      <c r="G100" s="1" t="str">
        <f t="shared" si="6"/>
        <v/>
      </c>
      <c r="H100" s="1" t="str">
        <f t="shared" si="7"/>
        <v/>
      </c>
    </row>
    <row r="101" spans="3:8" x14ac:dyDescent="0.35">
      <c r="C101" s="5" t="str">
        <f t="shared" si="8"/>
        <v/>
      </c>
      <c r="D101" s="1" t="str">
        <f t="shared" si="9"/>
        <v/>
      </c>
      <c r="E101" s="4"/>
      <c r="F101" s="1" t="str">
        <f t="shared" si="5"/>
        <v/>
      </c>
      <c r="G101" s="1" t="str">
        <f t="shared" si="6"/>
        <v/>
      </c>
      <c r="H101" s="1" t="str">
        <f t="shared" si="7"/>
        <v/>
      </c>
    </row>
    <row r="102" spans="3:8" x14ac:dyDescent="0.35">
      <c r="C102" s="5" t="str">
        <f t="shared" si="8"/>
        <v/>
      </c>
      <c r="D102" s="1" t="str">
        <f t="shared" si="9"/>
        <v/>
      </c>
      <c r="E102" s="4"/>
      <c r="F102" s="1" t="str">
        <f t="shared" si="5"/>
        <v/>
      </c>
      <c r="G102" s="1" t="str">
        <f t="shared" si="6"/>
        <v/>
      </c>
      <c r="H102" s="1" t="str">
        <f t="shared" si="7"/>
        <v/>
      </c>
    </row>
    <row r="103" spans="3:8" x14ac:dyDescent="0.35">
      <c r="C103" s="5" t="str">
        <f t="shared" si="8"/>
        <v/>
      </c>
      <c r="D103" s="1" t="str">
        <f t="shared" si="9"/>
        <v/>
      </c>
      <c r="E103" s="4"/>
      <c r="F103" s="1" t="str">
        <f t="shared" si="5"/>
        <v/>
      </c>
      <c r="G103" s="1" t="str">
        <f t="shared" si="6"/>
        <v/>
      </c>
      <c r="H103" s="1" t="str">
        <f t="shared" si="7"/>
        <v/>
      </c>
    </row>
    <row r="104" spans="3:8" x14ac:dyDescent="0.35">
      <c r="C104" s="5" t="str">
        <f t="shared" si="8"/>
        <v/>
      </c>
      <c r="D104" s="1" t="str">
        <f t="shared" si="9"/>
        <v/>
      </c>
      <c r="E104" s="4"/>
      <c r="F104" s="1" t="str">
        <f t="shared" si="5"/>
        <v/>
      </c>
      <c r="G104" s="1" t="str">
        <f t="shared" si="6"/>
        <v/>
      </c>
      <c r="H104" s="1" t="str">
        <f t="shared" si="7"/>
        <v/>
      </c>
    </row>
    <row r="105" spans="3:8" x14ac:dyDescent="0.35">
      <c r="C105" s="5" t="str">
        <f t="shared" si="8"/>
        <v/>
      </c>
      <c r="D105" s="1" t="str">
        <f t="shared" si="9"/>
        <v/>
      </c>
      <c r="E105" s="4"/>
      <c r="F105" s="1" t="str">
        <f t="shared" si="5"/>
        <v/>
      </c>
      <c r="G105" s="1" t="str">
        <f t="shared" si="6"/>
        <v/>
      </c>
      <c r="H105" s="1" t="str">
        <f t="shared" si="7"/>
        <v/>
      </c>
    </row>
    <row r="106" spans="3:8" x14ac:dyDescent="0.35">
      <c r="C106" s="5" t="str">
        <f t="shared" si="8"/>
        <v/>
      </c>
      <c r="D106" s="1" t="str">
        <f t="shared" si="9"/>
        <v/>
      </c>
      <c r="E106" s="4"/>
      <c r="F106" s="1" t="str">
        <f t="shared" si="5"/>
        <v/>
      </c>
      <c r="G106" s="1" t="str">
        <f t="shared" si="6"/>
        <v/>
      </c>
      <c r="H106" s="1" t="str">
        <f t="shared" si="7"/>
        <v/>
      </c>
    </row>
    <row r="107" spans="3:8" x14ac:dyDescent="0.35">
      <c r="C107" s="5" t="str">
        <f t="shared" si="8"/>
        <v/>
      </c>
      <c r="D107" s="1" t="str">
        <f t="shared" si="9"/>
        <v/>
      </c>
      <c r="E107" s="4"/>
      <c r="F107" s="1" t="str">
        <f t="shared" si="5"/>
        <v/>
      </c>
      <c r="G107" s="1" t="str">
        <f t="shared" si="6"/>
        <v/>
      </c>
      <c r="H107" s="1" t="str">
        <f t="shared" si="7"/>
        <v/>
      </c>
    </row>
    <row r="108" spans="3:8" x14ac:dyDescent="0.35">
      <c r="C108" s="5" t="str">
        <f t="shared" si="8"/>
        <v/>
      </c>
      <c r="D108" s="1" t="str">
        <f t="shared" si="9"/>
        <v/>
      </c>
      <c r="E108" s="4"/>
      <c r="F108" s="1" t="str">
        <f t="shared" si="5"/>
        <v/>
      </c>
      <c r="G108" s="1" t="str">
        <f t="shared" si="6"/>
        <v/>
      </c>
      <c r="H108" s="1" t="str">
        <f t="shared" si="7"/>
        <v/>
      </c>
    </row>
    <row r="109" spans="3:8" x14ac:dyDescent="0.35">
      <c r="C109" s="5" t="str">
        <f t="shared" si="8"/>
        <v/>
      </c>
      <c r="D109" s="1" t="str">
        <f t="shared" si="9"/>
        <v/>
      </c>
      <c r="E109" s="4"/>
      <c r="F109" s="1" t="str">
        <f t="shared" si="5"/>
        <v/>
      </c>
      <c r="G109" s="1" t="str">
        <f t="shared" si="6"/>
        <v/>
      </c>
      <c r="H109" s="1" t="str">
        <f t="shared" si="7"/>
        <v/>
      </c>
    </row>
    <row r="110" spans="3:8" x14ac:dyDescent="0.35">
      <c r="C110" s="5" t="str">
        <f t="shared" si="8"/>
        <v/>
      </c>
      <c r="D110" s="1" t="str">
        <f t="shared" si="9"/>
        <v/>
      </c>
      <c r="E110" s="4"/>
      <c r="F110" s="1" t="str">
        <f t="shared" si="5"/>
        <v/>
      </c>
      <c r="G110" s="1" t="str">
        <f t="shared" si="6"/>
        <v/>
      </c>
      <c r="H110" s="1" t="str">
        <f t="shared" si="7"/>
        <v/>
      </c>
    </row>
    <row r="111" spans="3:8" x14ac:dyDescent="0.35">
      <c r="C111" s="5" t="str">
        <f t="shared" si="8"/>
        <v/>
      </c>
      <c r="D111" s="1" t="str">
        <f t="shared" si="9"/>
        <v/>
      </c>
      <c r="E111" s="4"/>
      <c r="F111" s="1" t="str">
        <f t="shared" si="5"/>
        <v/>
      </c>
      <c r="G111" s="1" t="str">
        <f t="shared" si="6"/>
        <v/>
      </c>
      <c r="H111" s="1" t="str">
        <f t="shared" si="7"/>
        <v/>
      </c>
    </row>
    <row r="112" spans="3:8" x14ac:dyDescent="0.35">
      <c r="C112" s="5" t="str">
        <f t="shared" si="8"/>
        <v/>
      </c>
      <c r="D112" s="1" t="str">
        <f t="shared" si="9"/>
        <v/>
      </c>
      <c r="E112" s="4"/>
      <c r="F112" s="1" t="str">
        <f t="shared" si="5"/>
        <v/>
      </c>
      <c r="G112" s="1" t="str">
        <f t="shared" si="6"/>
        <v/>
      </c>
      <c r="H112" s="1" t="str">
        <f t="shared" si="7"/>
        <v/>
      </c>
    </row>
    <row r="113" spans="3:8" x14ac:dyDescent="0.35">
      <c r="C113" s="5" t="str">
        <f t="shared" si="8"/>
        <v/>
      </c>
      <c r="D113" s="1" t="str">
        <f t="shared" si="9"/>
        <v/>
      </c>
      <c r="E113" s="4"/>
      <c r="F113" s="1" t="str">
        <f t="shared" si="5"/>
        <v/>
      </c>
      <c r="G113" s="1" t="str">
        <f t="shared" si="6"/>
        <v/>
      </c>
      <c r="H113" s="1" t="str">
        <f t="shared" si="7"/>
        <v/>
      </c>
    </row>
    <row r="114" spans="3:8" x14ac:dyDescent="0.35">
      <c r="C114" s="5" t="str">
        <f t="shared" si="8"/>
        <v/>
      </c>
      <c r="D114" s="1" t="str">
        <f t="shared" si="9"/>
        <v/>
      </c>
      <c r="E114" s="4"/>
      <c r="F114" s="1" t="str">
        <f t="shared" si="5"/>
        <v/>
      </c>
      <c r="G114" s="1" t="str">
        <f t="shared" si="6"/>
        <v/>
      </c>
      <c r="H114" s="1" t="str">
        <f t="shared" si="7"/>
        <v/>
      </c>
    </row>
    <row r="115" spans="3:8" x14ac:dyDescent="0.35">
      <c r="C115" s="5" t="str">
        <f t="shared" si="8"/>
        <v/>
      </c>
      <c r="D115" s="1" t="str">
        <f t="shared" si="9"/>
        <v/>
      </c>
      <c r="E115" s="4"/>
      <c r="F115" s="1" t="str">
        <f t="shared" si="5"/>
        <v/>
      </c>
      <c r="G115" s="1" t="str">
        <f t="shared" si="6"/>
        <v/>
      </c>
      <c r="H115" s="1" t="str">
        <f t="shared" si="7"/>
        <v/>
      </c>
    </row>
    <row r="116" spans="3:8" x14ac:dyDescent="0.35">
      <c r="C116" s="5" t="str">
        <f t="shared" si="8"/>
        <v/>
      </c>
      <c r="D116" s="1" t="str">
        <f t="shared" si="9"/>
        <v/>
      </c>
      <c r="E116" s="4"/>
      <c r="F116" s="1" t="str">
        <f t="shared" si="5"/>
        <v/>
      </c>
      <c r="G116" s="1" t="str">
        <f t="shared" si="6"/>
        <v/>
      </c>
      <c r="H116" s="1" t="str">
        <f t="shared" si="7"/>
        <v/>
      </c>
    </row>
    <row r="117" spans="3:8" x14ac:dyDescent="0.35">
      <c r="C117" s="5" t="str">
        <f t="shared" si="8"/>
        <v/>
      </c>
      <c r="D117" s="1" t="str">
        <f t="shared" si="9"/>
        <v/>
      </c>
      <c r="E117" s="4"/>
      <c r="F117" s="1" t="str">
        <f t="shared" si="5"/>
        <v/>
      </c>
      <c r="G117" s="1" t="str">
        <f t="shared" si="6"/>
        <v/>
      </c>
      <c r="H117" s="1" t="str">
        <f t="shared" si="7"/>
        <v/>
      </c>
    </row>
    <row r="118" spans="3:8" x14ac:dyDescent="0.35">
      <c r="C118" s="5" t="str">
        <f t="shared" si="8"/>
        <v/>
      </c>
      <c r="D118" s="1" t="str">
        <f t="shared" si="9"/>
        <v/>
      </c>
      <c r="E118" s="4"/>
      <c r="F118" s="1" t="str">
        <f t="shared" si="5"/>
        <v/>
      </c>
      <c r="G118" s="1" t="str">
        <f t="shared" si="6"/>
        <v/>
      </c>
      <c r="H118" s="1" t="str">
        <f t="shared" si="7"/>
        <v/>
      </c>
    </row>
    <row r="119" spans="3:8" x14ac:dyDescent="0.35">
      <c r="C119" s="5" t="str">
        <f t="shared" si="8"/>
        <v/>
      </c>
      <c r="D119" s="1" t="str">
        <f t="shared" si="9"/>
        <v/>
      </c>
      <c r="E119" s="4"/>
      <c r="F119" s="1" t="str">
        <f t="shared" si="5"/>
        <v/>
      </c>
      <c r="G119" s="1" t="str">
        <f t="shared" si="6"/>
        <v/>
      </c>
      <c r="H119" s="1" t="str">
        <f t="shared" si="7"/>
        <v/>
      </c>
    </row>
    <row r="120" spans="3:8" x14ac:dyDescent="0.35">
      <c r="C120" s="5" t="str">
        <f t="shared" si="8"/>
        <v/>
      </c>
      <c r="D120" s="1" t="str">
        <f t="shared" si="9"/>
        <v/>
      </c>
      <c r="E120" s="4"/>
      <c r="F120" s="1" t="str">
        <f t="shared" si="5"/>
        <v/>
      </c>
      <c r="G120" s="1" t="str">
        <f t="shared" si="6"/>
        <v/>
      </c>
      <c r="H120" s="1" t="str">
        <f t="shared" si="7"/>
        <v/>
      </c>
    </row>
    <row r="121" spans="3:8" x14ac:dyDescent="0.35">
      <c r="C121" s="5" t="str">
        <f t="shared" si="8"/>
        <v/>
      </c>
      <c r="D121" s="1" t="str">
        <f t="shared" si="9"/>
        <v/>
      </c>
      <c r="E121" s="4"/>
      <c r="F121" s="1" t="str">
        <f t="shared" si="5"/>
        <v/>
      </c>
      <c r="G121" s="1" t="str">
        <f t="shared" si="6"/>
        <v/>
      </c>
      <c r="H121" s="1" t="str">
        <f t="shared" si="7"/>
        <v/>
      </c>
    </row>
    <row r="122" spans="3:8" x14ac:dyDescent="0.35">
      <c r="C122" s="5" t="str">
        <f t="shared" si="8"/>
        <v/>
      </c>
      <c r="D122" s="1" t="str">
        <f t="shared" si="9"/>
        <v/>
      </c>
      <c r="E122" s="4"/>
      <c r="F122" s="1" t="str">
        <f t="shared" si="5"/>
        <v/>
      </c>
      <c r="G122" s="1" t="str">
        <f t="shared" si="6"/>
        <v/>
      </c>
      <c r="H122" s="1" t="str">
        <f t="shared" si="7"/>
        <v/>
      </c>
    </row>
    <row r="123" spans="3:8" x14ac:dyDescent="0.35">
      <c r="C123" s="5" t="str">
        <f t="shared" si="8"/>
        <v/>
      </c>
      <c r="D123" s="1" t="str">
        <f t="shared" si="9"/>
        <v/>
      </c>
      <c r="E123" s="4"/>
      <c r="F123" s="1" t="str">
        <f t="shared" si="5"/>
        <v/>
      </c>
      <c r="G123" s="1" t="str">
        <f t="shared" si="6"/>
        <v/>
      </c>
      <c r="H123" s="1" t="str">
        <f t="shared" si="7"/>
        <v/>
      </c>
    </row>
    <row r="124" spans="3:8" x14ac:dyDescent="0.35">
      <c r="C124" s="5" t="str">
        <f t="shared" si="8"/>
        <v/>
      </c>
      <c r="D124" s="1" t="str">
        <f t="shared" si="9"/>
        <v/>
      </c>
      <c r="E124" s="4"/>
      <c r="F124" s="1" t="str">
        <f t="shared" si="5"/>
        <v/>
      </c>
      <c r="G124" s="1" t="str">
        <f t="shared" si="6"/>
        <v/>
      </c>
      <c r="H124" s="1" t="str">
        <f t="shared" si="7"/>
        <v/>
      </c>
    </row>
    <row r="125" spans="3:8" x14ac:dyDescent="0.35">
      <c r="C125" s="5" t="str">
        <f t="shared" si="8"/>
        <v/>
      </c>
      <c r="D125" s="1" t="str">
        <f t="shared" si="9"/>
        <v/>
      </c>
      <c r="E125" s="4"/>
      <c r="F125" s="1" t="str">
        <f t="shared" si="5"/>
        <v/>
      </c>
      <c r="G125" s="1" t="str">
        <f t="shared" si="6"/>
        <v/>
      </c>
      <c r="H125" s="1" t="str">
        <f t="shared" si="7"/>
        <v/>
      </c>
    </row>
    <row r="126" spans="3:8" x14ac:dyDescent="0.35">
      <c r="C126" s="5" t="str">
        <f t="shared" si="8"/>
        <v/>
      </c>
      <c r="D126" s="1" t="str">
        <f t="shared" si="9"/>
        <v/>
      </c>
      <c r="E126" s="4"/>
      <c r="F126" s="1" t="str">
        <f t="shared" si="5"/>
        <v/>
      </c>
      <c r="G126" s="1" t="str">
        <f t="shared" si="6"/>
        <v/>
      </c>
      <c r="H126" s="1" t="str">
        <f t="shared" si="7"/>
        <v/>
      </c>
    </row>
    <row r="127" spans="3:8" x14ac:dyDescent="0.35">
      <c r="C127" s="5" t="str">
        <f t="shared" si="8"/>
        <v/>
      </c>
      <c r="D127" s="1" t="str">
        <f t="shared" si="9"/>
        <v/>
      </c>
      <c r="E127" s="4"/>
      <c r="F127" s="1" t="str">
        <f t="shared" si="5"/>
        <v/>
      </c>
      <c r="G127" s="1" t="str">
        <f t="shared" si="6"/>
        <v/>
      </c>
      <c r="H127" s="1" t="str">
        <f t="shared" si="7"/>
        <v/>
      </c>
    </row>
    <row r="128" spans="3:8" x14ac:dyDescent="0.35">
      <c r="C128" s="5" t="str">
        <f t="shared" si="8"/>
        <v/>
      </c>
      <c r="D128" s="1" t="str">
        <f t="shared" si="9"/>
        <v/>
      </c>
      <c r="E128" s="4"/>
      <c r="F128" s="1" t="str">
        <f t="shared" si="5"/>
        <v/>
      </c>
      <c r="G128" s="1" t="str">
        <f t="shared" si="6"/>
        <v/>
      </c>
      <c r="H128" s="1" t="str">
        <f t="shared" si="7"/>
        <v/>
      </c>
    </row>
    <row r="129" spans="3:8" x14ac:dyDescent="0.35">
      <c r="C129" s="5" t="str">
        <f t="shared" si="8"/>
        <v/>
      </c>
      <c r="D129" s="1" t="str">
        <f t="shared" si="9"/>
        <v/>
      </c>
      <c r="E129" s="4"/>
      <c r="F129" s="1" t="str">
        <f t="shared" si="5"/>
        <v/>
      </c>
      <c r="G129" s="1" t="str">
        <f t="shared" si="6"/>
        <v/>
      </c>
      <c r="H129" s="1" t="str">
        <f t="shared" si="7"/>
        <v/>
      </c>
    </row>
    <row r="130" spans="3:8" x14ac:dyDescent="0.35">
      <c r="C130" s="5" t="str">
        <f t="shared" si="8"/>
        <v/>
      </c>
      <c r="D130" s="1" t="str">
        <f t="shared" si="9"/>
        <v/>
      </c>
      <c r="E130" s="4"/>
      <c r="F130" s="1" t="str">
        <f t="shared" si="5"/>
        <v/>
      </c>
      <c r="G130" s="1" t="str">
        <f t="shared" si="6"/>
        <v/>
      </c>
      <c r="H130" s="1" t="str">
        <f t="shared" si="7"/>
        <v/>
      </c>
    </row>
    <row r="131" spans="3:8" x14ac:dyDescent="0.35">
      <c r="C131" s="5" t="str">
        <f t="shared" si="8"/>
        <v/>
      </c>
      <c r="D131" s="1" t="str">
        <f t="shared" si="9"/>
        <v/>
      </c>
      <c r="E131" s="4"/>
      <c r="F131" s="1" t="str">
        <f t="shared" si="5"/>
        <v/>
      </c>
      <c r="G131" s="1" t="str">
        <f t="shared" si="6"/>
        <v/>
      </c>
      <c r="H131" s="1" t="str">
        <f t="shared" si="7"/>
        <v/>
      </c>
    </row>
    <row r="132" spans="3:8" x14ac:dyDescent="0.35">
      <c r="C132" s="5" t="str">
        <f t="shared" si="8"/>
        <v/>
      </c>
      <c r="D132" s="1" t="str">
        <f t="shared" si="9"/>
        <v/>
      </c>
      <c r="E132" s="4"/>
      <c r="F132" s="1" t="str">
        <f t="shared" si="5"/>
        <v/>
      </c>
      <c r="G132" s="1" t="str">
        <f t="shared" si="6"/>
        <v/>
      </c>
      <c r="H132" s="1" t="str">
        <f t="shared" si="7"/>
        <v/>
      </c>
    </row>
    <row r="133" spans="3:8" x14ac:dyDescent="0.35">
      <c r="C133" s="5" t="str">
        <f t="shared" si="8"/>
        <v/>
      </c>
      <c r="D133" s="1" t="str">
        <f t="shared" si="9"/>
        <v/>
      </c>
      <c r="E133" s="4"/>
      <c r="F133" s="1" t="str">
        <f t="shared" si="5"/>
        <v/>
      </c>
      <c r="G133" s="1" t="str">
        <f t="shared" si="6"/>
        <v/>
      </c>
      <c r="H133" s="1" t="str">
        <f t="shared" si="7"/>
        <v/>
      </c>
    </row>
    <row r="134" spans="3:8" x14ac:dyDescent="0.35">
      <c r="C134" s="5" t="str">
        <f t="shared" si="8"/>
        <v/>
      </c>
      <c r="D134" s="1" t="str">
        <f t="shared" si="9"/>
        <v/>
      </c>
      <c r="E134" s="4"/>
      <c r="F134" s="1" t="str">
        <f t="shared" si="5"/>
        <v/>
      </c>
      <c r="G134" s="1" t="str">
        <f t="shared" si="6"/>
        <v/>
      </c>
      <c r="H134" s="1" t="str">
        <f t="shared" si="7"/>
        <v/>
      </c>
    </row>
    <row r="135" spans="3:8" x14ac:dyDescent="0.35">
      <c r="C135" s="5" t="str">
        <f t="shared" si="8"/>
        <v/>
      </c>
      <c r="D135" s="1" t="str">
        <f t="shared" si="9"/>
        <v/>
      </c>
      <c r="E135" s="4"/>
      <c r="F135" s="1" t="str">
        <f t="shared" si="5"/>
        <v/>
      </c>
      <c r="G135" s="1" t="str">
        <f t="shared" si="6"/>
        <v/>
      </c>
      <c r="H135" s="1" t="str">
        <f t="shared" si="7"/>
        <v/>
      </c>
    </row>
    <row r="136" spans="3:8" x14ac:dyDescent="0.35">
      <c r="C136" s="5" t="str">
        <f t="shared" si="8"/>
        <v/>
      </c>
      <c r="D136" s="1" t="str">
        <f t="shared" si="9"/>
        <v/>
      </c>
      <c r="E136" s="4"/>
      <c r="F136" s="1" t="str">
        <f t="shared" si="5"/>
        <v/>
      </c>
      <c r="G136" s="1" t="str">
        <f t="shared" si="6"/>
        <v/>
      </c>
      <c r="H136" s="1" t="str">
        <f t="shared" si="7"/>
        <v/>
      </c>
    </row>
    <row r="137" spans="3:8" x14ac:dyDescent="0.35">
      <c r="C137" s="5" t="str">
        <f t="shared" si="8"/>
        <v/>
      </c>
      <c r="D137" s="1" t="str">
        <f t="shared" si="9"/>
        <v/>
      </c>
      <c r="E137" s="4"/>
      <c r="F137" s="1" t="str">
        <f t="shared" si="5"/>
        <v/>
      </c>
      <c r="G137" s="1" t="str">
        <f t="shared" si="6"/>
        <v/>
      </c>
      <c r="H137" s="1" t="str">
        <f t="shared" si="7"/>
        <v/>
      </c>
    </row>
    <row r="138" spans="3:8" x14ac:dyDescent="0.35">
      <c r="C138" s="5" t="str">
        <f t="shared" si="8"/>
        <v/>
      </c>
      <c r="D138" s="1" t="str">
        <f t="shared" si="9"/>
        <v/>
      </c>
      <c r="E138" s="4"/>
      <c r="F138" s="1" t="str">
        <f t="shared" si="5"/>
        <v/>
      </c>
      <c r="G138" s="1" t="str">
        <f t="shared" si="6"/>
        <v/>
      </c>
      <c r="H138" s="1" t="str">
        <f t="shared" si="7"/>
        <v/>
      </c>
    </row>
    <row r="139" spans="3:8" x14ac:dyDescent="0.35">
      <c r="C139" s="5" t="str">
        <f t="shared" si="8"/>
        <v/>
      </c>
      <c r="D139" s="1" t="str">
        <f t="shared" si="9"/>
        <v/>
      </c>
      <c r="E139" s="4"/>
      <c r="F139" s="1" t="str">
        <f t="shared" si="5"/>
        <v/>
      </c>
      <c r="G139" s="1" t="str">
        <f t="shared" si="6"/>
        <v/>
      </c>
      <c r="H139" s="1" t="str">
        <f t="shared" si="7"/>
        <v/>
      </c>
    </row>
    <row r="140" spans="3:8" x14ac:dyDescent="0.35">
      <c r="C140" s="5" t="str">
        <f t="shared" si="8"/>
        <v/>
      </c>
      <c r="D140" s="1" t="str">
        <f t="shared" si="9"/>
        <v/>
      </c>
      <c r="E140" s="4"/>
      <c r="F140" s="1" t="str">
        <f t="shared" si="5"/>
        <v/>
      </c>
      <c r="G140" s="1" t="str">
        <f t="shared" si="6"/>
        <v/>
      </c>
      <c r="H140" s="1" t="str">
        <f t="shared" si="7"/>
        <v/>
      </c>
    </row>
    <row r="141" spans="3:8" x14ac:dyDescent="0.35">
      <c r="C141" s="5" t="str">
        <f t="shared" si="8"/>
        <v/>
      </c>
      <c r="D141" s="1" t="str">
        <f t="shared" si="9"/>
        <v/>
      </c>
      <c r="E141" s="4"/>
      <c r="F141" s="1" t="str">
        <f t="shared" si="5"/>
        <v/>
      </c>
      <c r="G141" s="1" t="str">
        <f t="shared" si="6"/>
        <v/>
      </c>
      <c r="H141" s="1" t="str">
        <f t="shared" si="7"/>
        <v/>
      </c>
    </row>
    <row r="142" spans="3:8" x14ac:dyDescent="0.35">
      <c r="C142" s="5" t="str">
        <f t="shared" si="8"/>
        <v/>
      </c>
      <c r="D142" s="1" t="str">
        <f t="shared" si="9"/>
        <v/>
      </c>
      <c r="E142" s="4"/>
      <c r="F142" s="1" t="str">
        <f t="shared" si="5"/>
        <v/>
      </c>
      <c r="G142" s="1" t="str">
        <f t="shared" si="6"/>
        <v/>
      </c>
      <c r="H142" s="1" t="str">
        <f t="shared" si="7"/>
        <v/>
      </c>
    </row>
    <row r="143" spans="3:8" x14ac:dyDescent="0.35">
      <c r="C143" s="5" t="str">
        <f t="shared" si="8"/>
        <v/>
      </c>
      <c r="D143" s="1" t="str">
        <f t="shared" si="9"/>
        <v/>
      </c>
      <c r="E143" s="4"/>
      <c r="F143" s="1" t="str">
        <f t="shared" si="5"/>
        <v/>
      </c>
      <c r="G143" s="1" t="str">
        <f t="shared" si="6"/>
        <v/>
      </c>
      <c r="H143" s="1" t="str">
        <f t="shared" si="7"/>
        <v/>
      </c>
    </row>
    <row r="144" spans="3:8" x14ac:dyDescent="0.35">
      <c r="C144" s="5" t="str">
        <f t="shared" si="8"/>
        <v/>
      </c>
      <c r="D144" s="1" t="str">
        <f t="shared" si="9"/>
        <v/>
      </c>
      <c r="E144" s="4"/>
      <c r="F144" s="1" t="str">
        <f t="shared" si="5"/>
        <v/>
      </c>
      <c r="G144" s="1" t="str">
        <f t="shared" si="6"/>
        <v/>
      </c>
      <c r="H144" s="1" t="str">
        <f t="shared" si="7"/>
        <v/>
      </c>
    </row>
    <row r="145" spans="3:8" x14ac:dyDescent="0.35">
      <c r="C145" s="5" t="str">
        <f t="shared" si="8"/>
        <v/>
      </c>
      <c r="D145" s="1" t="str">
        <f t="shared" si="9"/>
        <v/>
      </c>
      <c r="E145" s="4"/>
      <c r="F145" s="1" t="str">
        <f t="shared" si="5"/>
        <v/>
      </c>
      <c r="G145" s="1" t="str">
        <f t="shared" si="6"/>
        <v/>
      </c>
      <c r="H145" s="1" t="str">
        <f t="shared" si="7"/>
        <v/>
      </c>
    </row>
    <row r="146" spans="3:8" x14ac:dyDescent="0.35">
      <c r="C146" s="5" t="str">
        <f t="shared" si="8"/>
        <v/>
      </c>
      <c r="D146" s="1" t="str">
        <f t="shared" si="9"/>
        <v/>
      </c>
      <c r="E146" s="4"/>
      <c r="F146" s="1" t="str">
        <f t="shared" si="5"/>
        <v/>
      </c>
      <c r="G146" s="1" t="str">
        <f t="shared" si="6"/>
        <v/>
      </c>
      <c r="H146" s="1" t="str">
        <f t="shared" si="7"/>
        <v/>
      </c>
    </row>
    <row r="147" spans="3:8" x14ac:dyDescent="0.35">
      <c r="C147" s="5" t="str">
        <f t="shared" si="8"/>
        <v/>
      </c>
      <c r="D147" s="1" t="str">
        <f t="shared" si="9"/>
        <v/>
      </c>
      <c r="E147" s="4"/>
      <c r="F147" s="1" t="str">
        <f t="shared" si="5"/>
        <v/>
      </c>
      <c r="G147" s="1" t="str">
        <f t="shared" si="6"/>
        <v/>
      </c>
      <c r="H147" s="1" t="str">
        <f t="shared" si="7"/>
        <v/>
      </c>
    </row>
    <row r="148" spans="3:8" x14ac:dyDescent="0.35">
      <c r="C148" s="5" t="str">
        <f t="shared" si="8"/>
        <v/>
      </c>
      <c r="D148" s="1" t="str">
        <f t="shared" si="9"/>
        <v/>
      </c>
      <c r="E148" s="4"/>
      <c r="F148" s="1" t="str">
        <f t="shared" si="5"/>
        <v/>
      </c>
      <c r="G148" s="1" t="str">
        <f t="shared" si="6"/>
        <v/>
      </c>
      <c r="H148" s="1" t="str">
        <f t="shared" si="7"/>
        <v/>
      </c>
    </row>
    <row r="149" spans="3:8" x14ac:dyDescent="0.35">
      <c r="C149" s="5" t="str">
        <f t="shared" si="8"/>
        <v/>
      </c>
      <c r="D149" s="1" t="str">
        <f t="shared" si="9"/>
        <v/>
      </c>
      <c r="E149" s="4"/>
      <c r="F149" s="1" t="str">
        <f t="shared" si="5"/>
        <v/>
      </c>
      <c r="G149" s="1" t="str">
        <f t="shared" si="6"/>
        <v/>
      </c>
      <c r="H149" s="1" t="str">
        <f t="shared" si="7"/>
        <v/>
      </c>
    </row>
    <row r="150" spans="3:8" x14ac:dyDescent="0.35">
      <c r="C150" s="5" t="str">
        <f t="shared" si="8"/>
        <v/>
      </c>
      <c r="D150" s="1" t="str">
        <f t="shared" si="9"/>
        <v/>
      </c>
      <c r="E150" s="4"/>
      <c r="F150" s="1" t="str">
        <f t="shared" ref="F150:F213" si="10">IF(B150="","",H149*$H$8)</f>
        <v/>
      </c>
      <c r="G150" s="1" t="str">
        <f t="shared" ref="G150:G213" si="11">IF(B150="","",D150-F150)</f>
        <v/>
      </c>
      <c r="H150" s="1" t="str">
        <f t="shared" ref="H150:H213" si="12">IF(B150="","",H149-G150-E150)</f>
        <v/>
      </c>
    </row>
    <row r="151" spans="3:8" x14ac:dyDescent="0.35">
      <c r="C151" s="5" t="str">
        <f t="shared" ref="C151:C214" si="13">IF(B151="","",EOMONTH(C150,0)+1)</f>
        <v/>
      </c>
      <c r="D151" s="1" t="str">
        <f t="shared" ref="D151:D214" si="14">IF(B151="","",MIN(H150+F151,$D$15))</f>
        <v/>
      </c>
      <c r="E151" s="4"/>
      <c r="F151" s="1" t="str">
        <f t="shared" si="10"/>
        <v/>
      </c>
      <c r="G151" s="1" t="str">
        <f t="shared" si="11"/>
        <v/>
      </c>
      <c r="H151" s="1" t="str">
        <f t="shared" si="12"/>
        <v/>
      </c>
    </row>
    <row r="152" spans="3:8" x14ac:dyDescent="0.35">
      <c r="C152" s="5" t="str">
        <f t="shared" si="13"/>
        <v/>
      </c>
      <c r="D152" s="1" t="str">
        <f t="shared" si="14"/>
        <v/>
      </c>
      <c r="E152" s="4"/>
      <c r="F152" s="1" t="str">
        <f t="shared" si="10"/>
        <v/>
      </c>
      <c r="G152" s="1" t="str">
        <f t="shared" si="11"/>
        <v/>
      </c>
      <c r="H152" s="1" t="str">
        <f t="shared" si="12"/>
        <v/>
      </c>
    </row>
    <row r="153" spans="3:8" x14ac:dyDescent="0.35">
      <c r="C153" s="5" t="str">
        <f t="shared" si="13"/>
        <v/>
      </c>
      <c r="D153" s="1" t="str">
        <f t="shared" si="14"/>
        <v/>
      </c>
      <c r="E153" s="4"/>
      <c r="F153" s="1" t="str">
        <f t="shared" si="10"/>
        <v/>
      </c>
      <c r="G153" s="1" t="str">
        <f t="shared" si="11"/>
        <v/>
      </c>
      <c r="H153" s="1" t="str">
        <f t="shared" si="12"/>
        <v/>
      </c>
    </row>
    <row r="154" spans="3:8" x14ac:dyDescent="0.35">
      <c r="C154" s="5" t="str">
        <f t="shared" si="13"/>
        <v/>
      </c>
      <c r="D154" s="1" t="str">
        <f t="shared" si="14"/>
        <v/>
      </c>
      <c r="E154" s="4"/>
      <c r="F154" s="1" t="str">
        <f t="shared" si="10"/>
        <v/>
      </c>
      <c r="G154" s="1" t="str">
        <f t="shared" si="11"/>
        <v/>
      </c>
      <c r="H154" s="1" t="str">
        <f t="shared" si="12"/>
        <v/>
      </c>
    </row>
    <row r="155" spans="3:8" x14ac:dyDescent="0.35">
      <c r="C155" s="5" t="str">
        <f t="shared" si="13"/>
        <v/>
      </c>
      <c r="D155" s="1" t="str">
        <f t="shared" si="14"/>
        <v/>
      </c>
      <c r="E155" s="4"/>
      <c r="F155" s="1" t="str">
        <f t="shared" si="10"/>
        <v/>
      </c>
      <c r="G155" s="1" t="str">
        <f t="shared" si="11"/>
        <v/>
      </c>
      <c r="H155" s="1" t="str">
        <f t="shared" si="12"/>
        <v/>
      </c>
    </row>
    <row r="156" spans="3:8" x14ac:dyDescent="0.35">
      <c r="C156" s="5" t="str">
        <f t="shared" si="13"/>
        <v/>
      </c>
      <c r="D156" s="1" t="str">
        <f t="shared" si="14"/>
        <v/>
      </c>
      <c r="E156" s="4"/>
      <c r="F156" s="1" t="str">
        <f t="shared" si="10"/>
        <v/>
      </c>
      <c r="G156" s="1" t="str">
        <f t="shared" si="11"/>
        <v/>
      </c>
      <c r="H156" s="1" t="str">
        <f t="shared" si="12"/>
        <v/>
      </c>
    </row>
    <row r="157" spans="3:8" x14ac:dyDescent="0.35">
      <c r="C157" s="5" t="str">
        <f t="shared" si="13"/>
        <v/>
      </c>
      <c r="D157" s="1" t="str">
        <f t="shared" si="14"/>
        <v/>
      </c>
      <c r="E157" s="4"/>
      <c r="F157" s="1" t="str">
        <f t="shared" si="10"/>
        <v/>
      </c>
      <c r="G157" s="1" t="str">
        <f t="shared" si="11"/>
        <v/>
      </c>
      <c r="H157" s="1" t="str">
        <f t="shared" si="12"/>
        <v/>
      </c>
    </row>
    <row r="158" spans="3:8" x14ac:dyDescent="0.35">
      <c r="C158" s="5" t="str">
        <f t="shared" si="13"/>
        <v/>
      </c>
      <c r="D158" s="1" t="str">
        <f t="shared" si="14"/>
        <v/>
      </c>
      <c r="E158" s="4"/>
      <c r="F158" s="1" t="str">
        <f t="shared" si="10"/>
        <v/>
      </c>
      <c r="G158" s="1" t="str">
        <f t="shared" si="11"/>
        <v/>
      </c>
      <c r="H158" s="1" t="str">
        <f t="shared" si="12"/>
        <v/>
      </c>
    </row>
    <row r="159" spans="3:8" x14ac:dyDescent="0.35">
      <c r="C159" s="5" t="str">
        <f t="shared" si="13"/>
        <v/>
      </c>
      <c r="D159" s="1" t="str">
        <f t="shared" si="14"/>
        <v/>
      </c>
      <c r="E159" s="4"/>
      <c r="F159" s="1" t="str">
        <f t="shared" si="10"/>
        <v/>
      </c>
      <c r="G159" s="1" t="str">
        <f t="shared" si="11"/>
        <v/>
      </c>
      <c r="H159" s="1" t="str">
        <f t="shared" si="12"/>
        <v/>
      </c>
    </row>
    <row r="160" spans="3:8" x14ac:dyDescent="0.35">
      <c r="C160" s="5" t="str">
        <f t="shared" si="13"/>
        <v/>
      </c>
      <c r="D160" s="1" t="str">
        <f t="shared" si="14"/>
        <v/>
      </c>
      <c r="E160" s="4"/>
      <c r="F160" s="1" t="str">
        <f t="shared" si="10"/>
        <v/>
      </c>
      <c r="G160" s="1" t="str">
        <f t="shared" si="11"/>
        <v/>
      </c>
      <c r="H160" s="1" t="str">
        <f t="shared" si="12"/>
        <v/>
      </c>
    </row>
    <row r="161" spans="3:8" x14ac:dyDescent="0.35">
      <c r="C161" s="5" t="str">
        <f t="shared" si="13"/>
        <v/>
      </c>
      <c r="D161" s="1" t="str">
        <f t="shared" si="14"/>
        <v/>
      </c>
      <c r="E161" s="4"/>
      <c r="F161" s="1" t="str">
        <f t="shared" si="10"/>
        <v/>
      </c>
      <c r="G161" s="1" t="str">
        <f t="shared" si="11"/>
        <v/>
      </c>
      <c r="H161" s="1" t="str">
        <f t="shared" si="12"/>
        <v/>
      </c>
    </row>
    <row r="162" spans="3:8" x14ac:dyDescent="0.35">
      <c r="C162" s="5" t="str">
        <f t="shared" si="13"/>
        <v/>
      </c>
      <c r="D162" s="1" t="str">
        <f t="shared" si="14"/>
        <v/>
      </c>
      <c r="E162" s="4"/>
      <c r="F162" s="1" t="str">
        <f t="shared" si="10"/>
        <v/>
      </c>
      <c r="G162" s="1" t="str">
        <f t="shared" si="11"/>
        <v/>
      </c>
      <c r="H162" s="1" t="str">
        <f t="shared" si="12"/>
        <v/>
      </c>
    </row>
    <row r="163" spans="3:8" x14ac:dyDescent="0.35">
      <c r="C163" s="5" t="str">
        <f t="shared" si="13"/>
        <v/>
      </c>
      <c r="D163" s="1" t="str">
        <f t="shared" si="14"/>
        <v/>
      </c>
      <c r="E163" s="4"/>
      <c r="F163" s="1" t="str">
        <f t="shared" si="10"/>
        <v/>
      </c>
      <c r="G163" s="1" t="str">
        <f t="shared" si="11"/>
        <v/>
      </c>
      <c r="H163" s="1" t="str">
        <f t="shared" si="12"/>
        <v/>
      </c>
    </row>
    <row r="164" spans="3:8" x14ac:dyDescent="0.35">
      <c r="C164" s="5" t="str">
        <f t="shared" si="13"/>
        <v/>
      </c>
      <c r="D164" s="1" t="str">
        <f t="shared" si="14"/>
        <v/>
      </c>
      <c r="E164" s="4"/>
      <c r="F164" s="1" t="str">
        <f t="shared" si="10"/>
        <v/>
      </c>
      <c r="G164" s="1" t="str">
        <f t="shared" si="11"/>
        <v/>
      </c>
      <c r="H164" s="1" t="str">
        <f t="shared" si="12"/>
        <v/>
      </c>
    </row>
    <row r="165" spans="3:8" x14ac:dyDescent="0.35">
      <c r="C165" s="5" t="str">
        <f t="shared" si="13"/>
        <v/>
      </c>
      <c r="D165" s="1" t="str">
        <f t="shared" si="14"/>
        <v/>
      </c>
      <c r="E165" s="4"/>
      <c r="F165" s="1" t="str">
        <f t="shared" si="10"/>
        <v/>
      </c>
      <c r="G165" s="1" t="str">
        <f t="shared" si="11"/>
        <v/>
      </c>
      <c r="H165" s="1" t="str">
        <f t="shared" si="12"/>
        <v/>
      </c>
    </row>
    <row r="166" spans="3:8" x14ac:dyDescent="0.35">
      <c r="C166" s="5" t="str">
        <f t="shared" si="13"/>
        <v/>
      </c>
      <c r="D166" s="1" t="str">
        <f t="shared" si="14"/>
        <v/>
      </c>
      <c r="E166" s="4"/>
      <c r="F166" s="1" t="str">
        <f t="shared" si="10"/>
        <v/>
      </c>
      <c r="G166" s="1" t="str">
        <f t="shared" si="11"/>
        <v/>
      </c>
      <c r="H166" s="1" t="str">
        <f t="shared" si="12"/>
        <v/>
      </c>
    </row>
    <row r="167" spans="3:8" x14ac:dyDescent="0.35">
      <c r="C167" s="5" t="str">
        <f t="shared" si="13"/>
        <v/>
      </c>
      <c r="D167" s="1" t="str">
        <f t="shared" si="14"/>
        <v/>
      </c>
      <c r="E167" s="4"/>
      <c r="F167" s="1" t="str">
        <f t="shared" si="10"/>
        <v/>
      </c>
      <c r="G167" s="1" t="str">
        <f t="shared" si="11"/>
        <v/>
      </c>
      <c r="H167" s="1" t="str">
        <f t="shared" si="12"/>
        <v/>
      </c>
    </row>
    <row r="168" spans="3:8" x14ac:dyDescent="0.35">
      <c r="C168" s="5" t="str">
        <f t="shared" si="13"/>
        <v/>
      </c>
      <c r="D168" s="1" t="str">
        <f t="shared" si="14"/>
        <v/>
      </c>
      <c r="E168" s="4"/>
      <c r="F168" s="1" t="str">
        <f t="shared" si="10"/>
        <v/>
      </c>
      <c r="G168" s="1" t="str">
        <f t="shared" si="11"/>
        <v/>
      </c>
      <c r="H168" s="1" t="str">
        <f t="shared" si="12"/>
        <v/>
      </c>
    </row>
    <row r="169" spans="3:8" x14ac:dyDescent="0.35">
      <c r="C169" s="5" t="str">
        <f t="shared" si="13"/>
        <v/>
      </c>
      <c r="D169" s="1" t="str">
        <f t="shared" si="14"/>
        <v/>
      </c>
      <c r="E169" s="4"/>
      <c r="F169" s="1" t="str">
        <f t="shared" si="10"/>
        <v/>
      </c>
      <c r="G169" s="1" t="str">
        <f t="shared" si="11"/>
        <v/>
      </c>
      <c r="H169" s="1" t="str">
        <f t="shared" si="12"/>
        <v/>
      </c>
    </row>
    <row r="170" spans="3:8" x14ac:dyDescent="0.35">
      <c r="C170" s="5" t="str">
        <f t="shared" si="13"/>
        <v/>
      </c>
      <c r="D170" s="1" t="str">
        <f t="shared" si="14"/>
        <v/>
      </c>
      <c r="E170" s="4"/>
      <c r="F170" s="1" t="str">
        <f t="shared" si="10"/>
        <v/>
      </c>
      <c r="G170" s="1" t="str">
        <f t="shared" si="11"/>
        <v/>
      </c>
      <c r="H170" s="1" t="str">
        <f t="shared" si="12"/>
        <v/>
      </c>
    </row>
    <row r="171" spans="3:8" x14ac:dyDescent="0.35">
      <c r="C171" s="5" t="str">
        <f t="shared" si="13"/>
        <v/>
      </c>
      <c r="D171" s="1" t="str">
        <f t="shared" si="14"/>
        <v/>
      </c>
      <c r="E171" s="4"/>
      <c r="F171" s="1" t="str">
        <f t="shared" si="10"/>
        <v/>
      </c>
      <c r="G171" s="1" t="str">
        <f t="shared" si="11"/>
        <v/>
      </c>
      <c r="H171" s="1" t="str">
        <f t="shared" si="12"/>
        <v/>
      </c>
    </row>
    <row r="172" spans="3:8" x14ac:dyDescent="0.35">
      <c r="C172" s="5" t="str">
        <f t="shared" si="13"/>
        <v/>
      </c>
      <c r="D172" s="1" t="str">
        <f t="shared" si="14"/>
        <v/>
      </c>
      <c r="E172" s="4"/>
      <c r="F172" s="1" t="str">
        <f t="shared" si="10"/>
        <v/>
      </c>
      <c r="G172" s="1" t="str">
        <f t="shared" si="11"/>
        <v/>
      </c>
      <c r="H172" s="1" t="str">
        <f t="shared" si="12"/>
        <v/>
      </c>
    </row>
    <row r="173" spans="3:8" x14ac:dyDescent="0.35">
      <c r="C173" s="5" t="str">
        <f t="shared" si="13"/>
        <v/>
      </c>
      <c r="D173" s="1" t="str">
        <f t="shared" si="14"/>
        <v/>
      </c>
      <c r="E173" s="4"/>
      <c r="F173" s="1" t="str">
        <f t="shared" si="10"/>
        <v/>
      </c>
      <c r="G173" s="1" t="str">
        <f t="shared" si="11"/>
        <v/>
      </c>
      <c r="H173" s="1" t="str">
        <f t="shared" si="12"/>
        <v/>
      </c>
    </row>
    <row r="174" spans="3:8" x14ac:dyDescent="0.35">
      <c r="C174" s="5" t="str">
        <f t="shared" si="13"/>
        <v/>
      </c>
      <c r="D174" s="1" t="str">
        <f t="shared" si="14"/>
        <v/>
      </c>
      <c r="E174" s="4"/>
      <c r="F174" s="1" t="str">
        <f t="shared" si="10"/>
        <v/>
      </c>
      <c r="G174" s="1" t="str">
        <f t="shared" si="11"/>
        <v/>
      </c>
      <c r="H174" s="1" t="str">
        <f t="shared" si="12"/>
        <v/>
      </c>
    </row>
    <row r="175" spans="3:8" x14ac:dyDescent="0.35">
      <c r="C175" s="5" t="str">
        <f t="shared" si="13"/>
        <v/>
      </c>
      <c r="D175" s="1" t="str">
        <f t="shared" si="14"/>
        <v/>
      </c>
      <c r="E175" s="4"/>
      <c r="F175" s="1" t="str">
        <f t="shared" si="10"/>
        <v/>
      </c>
      <c r="G175" s="1" t="str">
        <f t="shared" si="11"/>
        <v/>
      </c>
      <c r="H175" s="1" t="str">
        <f t="shared" si="12"/>
        <v/>
      </c>
    </row>
    <row r="176" spans="3:8" x14ac:dyDescent="0.35">
      <c r="C176" s="5" t="str">
        <f t="shared" si="13"/>
        <v/>
      </c>
      <c r="D176" s="1" t="str">
        <f t="shared" si="14"/>
        <v/>
      </c>
      <c r="E176" s="4"/>
      <c r="F176" s="1" t="str">
        <f t="shared" si="10"/>
        <v/>
      </c>
      <c r="G176" s="1" t="str">
        <f t="shared" si="11"/>
        <v/>
      </c>
      <c r="H176" s="1" t="str">
        <f t="shared" si="12"/>
        <v/>
      </c>
    </row>
    <row r="177" spans="3:8" x14ac:dyDescent="0.35">
      <c r="C177" s="5" t="str">
        <f t="shared" si="13"/>
        <v/>
      </c>
      <c r="D177" s="1" t="str">
        <f t="shared" si="14"/>
        <v/>
      </c>
      <c r="E177" s="4"/>
      <c r="F177" s="1" t="str">
        <f t="shared" si="10"/>
        <v/>
      </c>
      <c r="G177" s="1" t="str">
        <f t="shared" si="11"/>
        <v/>
      </c>
      <c r="H177" s="1" t="str">
        <f t="shared" si="12"/>
        <v/>
      </c>
    </row>
    <row r="178" spans="3:8" x14ac:dyDescent="0.35">
      <c r="C178" s="5" t="str">
        <f t="shared" si="13"/>
        <v/>
      </c>
      <c r="D178" s="1" t="str">
        <f t="shared" si="14"/>
        <v/>
      </c>
      <c r="E178" s="4"/>
      <c r="F178" s="1" t="str">
        <f t="shared" si="10"/>
        <v/>
      </c>
      <c r="G178" s="1" t="str">
        <f t="shared" si="11"/>
        <v/>
      </c>
      <c r="H178" s="1" t="str">
        <f t="shared" si="12"/>
        <v/>
      </c>
    </row>
    <row r="179" spans="3:8" x14ac:dyDescent="0.35">
      <c r="C179" s="5" t="str">
        <f t="shared" si="13"/>
        <v/>
      </c>
      <c r="D179" s="1" t="str">
        <f t="shared" si="14"/>
        <v/>
      </c>
      <c r="E179" s="4"/>
      <c r="F179" s="1" t="str">
        <f t="shared" si="10"/>
        <v/>
      </c>
      <c r="G179" s="1" t="str">
        <f t="shared" si="11"/>
        <v/>
      </c>
      <c r="H179" s="1" t="str">
        <f t="shared" si="12"/>
        <v/>
      </c>
    </row>
    <row r="180" spans="3:8" x14ac:dyDescent="0.35">
      <c r="C180" s="5" t="str">
        <f t="shared" si="13"/>
        <v/>
      </c>
      <c r="D180" s="1" t="str">
        <f t="shared" si="14"/>
        <v/>
      </c>
      <c r="E180" s="4"/>
      <c r="F180" s="1" t="str">
        <f t="shared" si="10"/>
        <v/>
      </c>
      <c r="G180" s="1" t="str">
        <f t="shared" si="11"/>
        <v/>
      </c>
      <c r="H180" s="1" t="str">
        <f t="shared" si="12"/>
        <v/>
      </c>
    </row>
    <row r="181" spans="3:8" x14ac:dyDescent="0.35">
      <c r="C181" s="5" t="str">
        <f t="shared" si="13"/>
        <v/>
      </c>
      <c r="D181" s="1" t="str">
        <f t="shared" si="14"/>
        <v/>
      </c>
      <c r="E181" s="4"/>
      <c r="F181" s="1" t="str">
        <f t="shared" si="10"/>
        <v/>
      </c>
      <c r="G181" s="1" t="str">
        <f t="shared" si="11"/>
        <v/>
      </c>
      <c r="H181" s="1" t="str">
        <f t="shared" si="12"/>
        <v/>
      </c>
    </row>
    <row r="182" spans="3:8" x14ac:dyDescent="0.35">
      <c r="C182" s="5" t="str">
        <f t="shared" si="13"/>
        <v/>
      </c>
      <c r="D182" s="1" t="str">
        <f t="shared" si="14"/>
        <v/>
      </c>
      <c r="E182" s="4"/>
      <c r="F182" s="1" t="str">
        <f t="shared" si="10"/>
        <v/>
      </c>
      <c r="G182" s="1" t="str">
        <f t="shared" si="11"/>
        <v/>
      </c>
      <c r="H182" s="1" t="str">
        <f t="shared" si="12"/>
        <v/>
      </c>
    </row>
    <row r="183" spans="3:8" x14ac:dyDescent="0.35">
      <c r="C183" s="5" t="str">
        <f t="shared" si="13"/>
        <v/>
      </c>
      <c r="D183" s="1" t="str">
        <f t="shared" si="14"/>
        <v/>
      </c>
      <c r="E183" s="4"/>
      <c r="F183" s="1" t="str">
        <f t="shared" si="10"/>
        <v/>
      </c>
      <c r="G183" s="1" t="str">
        <f t="shared" si="11"/>
        <v/>
      </c>
      <c r="H183" s="1" t="str">
        <f t="shared" si="12"/>
        <v/>
      </c>
    </row>
    <row r="184" spans="3:8" x14ac:dyDescent="0.35">
      <c r="C184" s="5" t="str">
        <f t="shared" si="13"/>
        <v/>
      </c>
      <c r="D184" s="1" t="str">
        <f t="shared" si="14"/>
        <v/>
      </c>
      <c r="E184" s="4"/>
      <c r="F184" s="1" t="str">
        <f t="shared" si="10"/>
        <v/>
      </c>
      <c r="G184" s="1" t="str">
        <f t="shared" si="11"/>
        <v/>
      </c>
      <c r="H184" s="1" t="str">
        <f t="shared" si="12"/>
        <v/>
      </c>
    </row>
    <row r="185" spans="3:8" x14ac:dyDescent="0.35">
      <c r="C185" s="5" t="str">
        <f t="shared" si="13"/>
        <v/>
      </c>
      <c r="D185" s="1" t="str">
        <f t="shared" si="14"/>
        <v/>
      </c>
      <c r="E185" s="4"/>
      <c r="F185" s="1" t="str">
        <f t="shared" si="10"/>
        <v/>
      </c>
      <c r="G185" s="1" t="str">
        <f t="shared" si="11"/>
        <v/>
      </c>
      <c r="H185" s="1" t="str">
        <f t="shared" si="12"/>
        <v/>
      </c>
    </row>
    <row r="186" spans="3:8" x14ac:dyDescent="0.35">
      <c r="C186" s="5" t="str">
        <f t="shared" si="13"/>
        <v/>
      </c>
      <c r="D186" s="1" t="str">
        <f t="shared" si="14"/>
        <v/>
      </c>
      <c r="E186" s="4"/>
      <c r="F186" s="1" t="str">
        <f t="shared" si="10"/>
        <v/>
      </c>
      <c r="G186" s="1" t="str">
        <f t="shared" si="11"/>
        <v/>
      </c>
      <c r="H186" s="1" t="str">
        <f t="shared" si="12"/>
        <v/>
      </c>
    </row>
    <row r="187" spans="3:8" x14ac:dyDescent="0.35">
      <c r="C187" s="5" t="str">
        <f t="shared" si="13"/>
        <v/>
      </c>
      <c r="D187" s="1" t="str">
        <f t="shared" si="14"/>
        <v/>
      </c>
      <c r="E187" s="4"/>
      <c r="F187" s="1" t="str">
        <f t="shared" si="10"/>
        <v/>
      </c>
      <c r="G187" s="1" t="str">
        <f t="shared" si="11"/>
        <v/>
      </c>
      <c r="H187" s="1" t="str">
        <f t="shared" si="12"/>
        <v/>
      </c>
    </row>
    <row r="188" spans="3:8" x14ac:dyDescent="0.35">
      <c r="C188" s="5" t="str">
        <f t="shared" si="13"/>
        <v/>
      </c>
      <c r="D188" s="1" t="str">
        <f t="shared" si="14"/>
        <v/>
      </c>
      <c r="E188" s="4"/>
      <c r="F188" s="1" t="str">
        <f t="shared" si="10"/>
        <v/>
      </c>
      <c r="G188" s="1" t="str">
        <f t="shared" si="11"/>
        <v/>
      </c>
      <c r="H188" s="1" t="str">
        <f t="shared" si="12"/>
        <v/>
      </c>
    </row>
    <row r="189" spans="3:8" x14ac:dyDescent="0.35">
      <c r="C189" s="5" t="str">
        <f t="shared" si="13"/>
        <v/>
      </c>
      <c r="D189" s="1" t="str">
        <f t="shared" si="14"/>
        <v/>
      </c>
      <c r="E189" s="4"/>
      <c r="F189" s="1" t="str">
        <f t="shared" si="10"/>
        <v/>
      </c>
      <c r="G189" s="1" t="str">
        <f t="shared" si="11"/>
        <v/>
      </c>
      <c r="H189" s="1" t="str">
        <f t="shared" si="12"/>
        <v/>
      </c>
    </row>
    <row r="190" spans="3:8" x14ac:dyDescent="0.35">
      <c r="C190" s="5" t="str">
        <f t="shared" si="13"/>
        <v/>
      </c>
      <c r="D190" s="1" t="str">
        <f t="shared" si="14"/>
        <v/>
      </c>
      <c r="E190" s="4"/>
      <c r="F190" s="1" t="str">
        <f t="shared" si="10"/>
        <v/>
      </c>
      <c r="G190" s="1" t="str">
        <f t="shared" si="11"/>
        <v/>
      </c>
      <c r="H190" s="1" t="str">
        <f t="shared" si="12"/>
        <v/>
      </c>
    </row>
    <row r="191" spans="3:8" x14ac:dyDescent="0.35">
      <c r="C191" s="5" t="str">
        <f t="shared" si="13"/>
        <v/>
      </c>
      <c r="D191" s="1" t="str">
        <f t="shared" si="14"/>
        <v/>
      </c>
      <c r="E191" s="4"/>
      <c r="F191" s="1" t="str">
        <f t="shared" si="10"/>
        <v/>
      </c>
      <c r="G191" s="1" t="str">
        <f t="shared" si="11"/>
        <v/>
      </c>
      <c r="H191" s="1" t="str">
        <f t="shared" si="12"/>
        <v/>
      </c>
    </row>
    <row r="192" spans="3:8" x14ac:dyDescent="0.35">
      <c r="C192" s="5" t="str">
        <f t="shared" si="13"/>
        <v/>
      </c>
      <c r="D192" s="1" t="str">
        <f t="shared" si="14"/>
        <v/>
      </c>
      <c r="E192" s="4"/>
      <c r="F192" s="1" t="str">
        <f t="shared" si="10"/>
        <v/>
      </c>
      <c r="G192" s="1" t="str">
        <f t="shared" si="11"/>
        <v/>
      </c>
      <c r="H192" s="1" t="str">
        <f t="shared" si="12"/>
        <v/>
      </c>
    </row>
    <row r="193" spans="3:8" x14ac:dyDescent="0.35">
      <c r="C193" s="5" t="str">
        <f t="shared" si="13"/>
        <v/>
      </c>
      <c r="D193" s="1" t="str">
        <f t="shared" si="14"/>
        <v/>
      </c>
      <c r="E193" s="4"/>
      <c r="F193" s="1" t="str">
        <f t="shared" si="10"/>
        <v/>
      </c>
      <c r="G193" s="1" t="str">
        <f t="shared" si="11"/>
        <v/>
      </c>
      <c r="H193" s="1" t="str">
        <f t="shared" si="12"/>
        <v/>
      </c>
    </row>
    <row r="194" spans="3:8" x14ac:dyDescent="0.35">
      <c r="C194" s="5" t="str">
        <f t="shared" si="13"/>
        <v/>
      </c>
      <c r="D194" s="1" t="str">
        <f t="shared" si="14"/>
        <v/>
      </c>
      <c r="E194" s="4"/>
      <c r="F194" s="1" t="str">
        <f t="shared" si="10"/>
        <v/>
      </c>
      <c r="G194" s="1" t="str">
        <f t="shared" si="11"/>
        <v/>
      </c>
      <c r="H194" s="1" t="str">
        <f t="shared" si="12"/>
        <v/>
      </c>
    </row>
    <row r="195" spans="3:8" x14ac:dyDescent="0.35">
      <c r="C195" s="5" t="str">
        <f t="shared" si="13"/>
        <v/>
      </c>
      <c r="D195" s="1" t="str">
        <f t="shared" si="14"/>
        <v/>
      </c>
      <c r="E195" s="4"/>
      <c r="F195" s="1" t="str">
        <f t="shared" si="10"/>
        <v/>
      </c>
      <c r="G195" s="1" t="str">
        <f t="shared" si="11"/>
        <v/>
      </c>
      <c r="H195" s="1" t="str">
        <f t="shared" si="12"/>
        <v/>
      </c>
    </row>
    <row r="196" spans="3:8" x14ac:dyDescent="0.35">
      <c r="C196" s="5" t="str">
        <f t="shared" si="13"/>
        <v/>
      </c>
      <c r="D196" s="1" t="str">
        <f t="shared" si="14"/>
        <v/>
      </c>
      <c r="E196" s="4"/>
      <c r="F196" s="1" t="str">
        <f t="shared" si="10"/>
        <v/>
      </c>
      <c r="G196" s="1" t="str">
        <f t="shared" si="11"/>
        <v/>
      </c>
      <c r="H196" s="1" t="str">
        <f t="shared" si="12"/>
        <v/>
      </c>
    </row>
    <row r="197" spans="3:8" x14ac:dyDescent="0.35">
      <c r="C197" s="5" t="str">
        <f t="shared" si="13"/>
        <v/>
      </c>
      <c r="D197" s="1" t="str">
        <f t="shared" si="14"/>
        <v/>
      </c>
      <c r="E197" s="4"/>
      <c r="F197" s="1" t="str">
        <f t="shared" si="10"/>
        <v/>
      </c>
      <c r="G197" s="1" t="str">
        <f t="shared" si="11"/>
        <v/>
      </c>
      <c r="H197" s="1" t="str">
        <f t="shared" si="12"/>
        <v/>
      </c>
    </row>
    <row r="198" spans="3:8" x14ac:dyDescent="0.35">
      <c r="C198" s="5" t="str">
        <f t="shared" si="13"/>
        <v/>
      </c>
      <c r="D198" s="1" t="str">
        <f t="shared" si="14"/>
        <v/>
      </c>
      <c r="E198" s="4"/>
      <c r="F198" s="1" t="str">
        <f t="shared" si="10"/>
        <v/>
      </c>
      <c r="G198" s="1" t="str">
        <f t="shared" si="11"/>
        <v/>
      </c>
      <c r="H198" s="1" t="str">
        <f t="shared" si="12"/>
        <v/>
      </c>
    </row>
    <row r="199" spans="3:8" x14ac:dyDescent="0.35">
      <c r="C199" s="5" t="str">
        <f t="shared" si="13"/>
        <v/>
      </c>
      <c r="D199" s="1" t="str">
        <f t="shared" si="14"/>
        <v/>
      </c>
      <c r="E199" s="4"/>
      <c r="F199" s="1" t="str">
        <f t="shared" si="10"/>
        <v/>
      </c>
      <c r="G199" s="1" t="str">
        <f t="shared" si="11"/>
        <v/>
      </c>
      <c r="H199" s="1" t="str">
        <f t="shared" si="12"/>
        <v/>
      </c>
    </row>
    <row r="200" spans="3:8" x14ac:dyDescent="0.35">
      <c r="C200" s="5" t="str">
        <f t="shared" si="13"/>
        <v/>
      </c>
      <c r="D200" s="1" t="str">
        <f t="shared" si="14"/>
        <v/>
      </c>
      <c r="E200" s="4"/>
      <c r="F200" s="1" t="str">
        <f t="shared" si="10"/>
        <v/>
      </c>
      <c r="G200" s="1" t="str">
        <f t="shared" si="11"/>
        <v/>
      </c>
      <c r="H200" s="1" t="str">
        <f t="shared" si="12"/>
        <v/>
      </c>
    </row>
    <row r="201" spans="3:8" x14ac:dyDescent="0.35">
      <c r="C201" s="5" t="str">
        <f t="shared" si="13"/>
        <v/>
      </c>
      <c r="D201" s="1" t="str">
        <f t="shared" si="14"/>
        <v/>
      </c>
      <c r="E201" s="4"/>
      <c r="F201" s="1" t="str">
        <f t="shared" si="10"/>
        <v/>
      </c>
      <c r="G201" s="1" t="str">
        <f t="shared" si="11"/>
        <v/>
      </c>
      <c r="H201" s="1" t="str">
        <f t="shared" si="12"/>
        <v/>
      </c>
    </row>
    <row r="202" spans="3:8" x14ac:dyDescent="0.35">
      <c r="C202" s="5" t="str">
        <f t="shared" si="13"/>
        <v/>
      </c>
      <c r="D202" s="1" t="str">
        <f t="shared" si="14"/>
        <v/>
      </c>
      <c r="E202" s="4"/>
      <c r="F202" s="1" t="str">
        <f t="shared" si="10"/>
        <v/>
      </c>
      <c r="G202" s="1" t="str">
        <f t="shared" si="11"/>
        <v/>
      </c>
      <c r="H202" s="1" t="str">
        <f t="shared" si="12"/>
        <v/>
      </c>
    </row>
    <row r="203" spans="3:8" x14ac:dyDescent="0.35">
      <c r="C203" s="5" t="str">
        <f t="shared" si="13"/>
        <v/>
      </c>
      <c r="D203" s="1" t="str">
        <f t="shared" si="14"/>
        <v/>
      </c>
      <c r="E203" s="4"/>
      <c r="F203" s="1" t="str">
        <f t="shared" si="10"/>
        <v/>
      </c>
      <c r="G203" s="1" t="str">
        <f t="shared" si="11"/>
        <v/>
      </c>
      <c r="H203" s="1" t="str">
        <f t="shared" si="12"/>
        <v/>
      </c>
    </row>
    <row r="204" spans="3:8" x14ac:dyDescent="0.35">
      <c r="C204" s="5" t="str">
        <f t="shared" si="13"/>
        <v/>
      </c>
      <c r="D204" s="1" t="str">
        <f t="shared" si="14"/>
        <v/>
      </c>
      <c r="E204" s="4"/>
      <c r="F204" s="1" t="str">
        <f t="shared" si="10"/>
        <v/>
      </c>
      <c r="G204" s="1" t="str">
        <f t="shared" si="11"/>
        <v/>
      </c>
      <c r="H204" s="1" t="str">
        <f t="shared" si="12"/>
        <v/>
      </c>
    </row>
    <row r="205" spans="3:8" x14ac:dyDescent="0.35">
      <c r="C205" s="5" t="str">
        <f t="shared" si="13"/>
        <v/>
      </c>
      <c r="D205" s="1" t="str">
        <f t="shared" si="14"/>
        <v/>
      </c>
      <c r="E205" s="4"/>
      <c r="F205" s="1" t="str">
        <f t="shared" si="10"/>
        <v/>
      </c>
      <c r="G205" s="1" t="str">
        <f t="shared" si="11"/>
        <v/>
      </c>
      <c r="H205" s="1" t="str">
        <f t="shared" si="12"/>
        <v/>
      </c>
    </row>
    <row r="206" spans="3:8" x14ac:dyDescent="0.35">
      <c r="C206" s="5" t="str">
        <f t="shared" si="13"/>
        <v/>
      </c>
      <c r="D206" s="1" t="str">
        <f t="shared" si="14"/>
        <v/>
      </c>
      <c r="E206" s="4"/>
      <c r="F206" s="1" t="str">
        <f t="shared" si="10"/>
        <v/>
      </c>
      <c r="G206" s="1" t="str">
        <f t="shared" si="11"/>
        <v/>
      </c>
      <c r="H206" s="1" t="str">
        <f t="shared" si="12"/>
        <v/>
      </c>
    </row>
    <row r="207" spans="3:8" x14ac:dyDescent="0.35">
      <c r="C207" s="5" t="str">
        <f t="shared" si="13"/>
        <v/>
      </c>
      <c r="D207" s="1" t="str">
        <f t="shared" si="14"/>
        <v/>
      </c>
      <c r="E207" s="4"/>
      <c r="F207" s="1" t="str">
        <f t="shared" si="10"/>
        <v/>
      </c>
      <c r="G207" s="1" t="str">
        <f t="shared" si="11"/>
        <v/>
      </c>
      <c r="H207" s="1" t="str">
        <f t="shared" si="12"/>
        <v/>
      </c>
    </row>
    <row r="208" spans="3:8" x14ac:dyDescent="0.35">
      <c r="C208" s="5" t="str">
        <f t="shared" si="13"/>
        <v/>
      </c>
      <c r="D208" s="1" t="str">
        <f t="shared" si="14"/>
        <v/>
      </c>
      <c r="E208" s="4"/>
      <c r="F208" s="1" t="str">
        <f t="shared" si="10"/>
        <v/>
      </c>
      <c r="G208" s="1" t="str">
        <f t="shared" si="11"/>
        <v/>
      </c>
      <c r="H208" s="1" t="str">
        <f t="shared" si="12"/>
        <v/>
      </c>
    </row>
    <row r="209" spans="3:8" x14ac:dyDescent="0.35">
      <c r="C209" s="5" t="str">
        <f t="shared" si="13"/>
        <v/>
      </c>
      <c r="D209" s="1" t="str">
        <f t="shared" si="14"/>
        <v/>
      </c>
      <c r="E209" s="4"/>
      <c r="F209" s="1" t="str">
        <f t="shared" si="10"/>
        <v/>
      </c>
      <c r="G209" s="1" t="str">
        <f t="shared" si="11"/>
        <v/>
      </c>
      <c r="H209" s="1" t="str">
        <f t="shared" si="12"/>
        <v/>
      </c>
    </row>
    <row r="210" spans="3:8" x14ac:dyDescent="0.35">
      <c r="C210" s="5" t="str">
        <f t="shared" si="13"/>
        <v/>
      </c>
      <c r="D210" s="1" t="str">
        <f t="shared" si="14"/>
        <v/>
      </c>
      <c r="E210" s="4"/>
      <c r="F210" s="1" t="str">
        <f t="shared" si="10"/>
        <v/>
      </c>
      <c r="G210" s="1" t="str">
        <f t="shared" si="11"/>
        <v/>
      </c>
      <c r="H210" s="1" t="str">
        <f t="shared" si="12"/>
        <v/>
      </c>
    </row>
    <row r="211" spans="3:8" x14ac:dyDescent="0.35">
      <c r="C211" s="5" t="str">
        <f t="shared" si="13"/>
        <v/>
      </c>
      <c r="D211" s="1" t="str">
        <f t="shared" si="14"/>
        <v/>
      </c>
      <c r="E211" s="4"/>
      <c r="F211" s="1" t="str">
        <f t="shared" si="10"/>
        <v/>
      </c>
      <c r="G211" s="1" t="str">
        <f t="shared" si="11"/>
        <v/>
      </c>
      <c r="H211" s="1" t="str">
        <f t="shared" si="12"/>
        <v/>
      </c>
    </row>
    <row r="212" spans="3:8" x14ac:dyDescent="0.35">
      <c r="C212" s="5" t="str">
        <f t="shared" si="13"/>
        <v/>
      </c>
      <c r="D212" s="1" t="str">
        <f t="shared" si="14"/>
        <v/>
      </c>
      <c r="E212" s="4"/>
      <c r="F212" s="1" t="str">
        <f t="shared" si="10"/>
        <v/>
      </c>
      <c r="G212" s="1" t="str">
        <f t="shared" si="11"/>
        <v/>
      </c>
      <c r="H212" s="1" t="str">
        <f t="shared" si="12"/>
        <v/>
      </c>
    </row>
    <row r="213" spans="3:8" x14ac:dyDescent="0.35">
      <c r="C213" s="5" t="str">
        <f t="shared" si="13"/>
        <v/>
      </c>
      <c r="D213" s="1" t="str">
        <f t="shared" si="14"/>
        <v/>
      </c>
      <c r="E213" s="4"/>
      <c r="F213" s="1" t="str">
        <f t="shared" si="10"/>
        <v/>
      </c>
      <c r="G213" s="1" t="str">
        <f t="shared" si="11"/>
        <v/>
      </c>
      <c r="H213" s="1" t="str">
        <f t="shared" si="12"/>
        <v/>
      </c>
    </row>
    <row r="214" spans="3:8" x14ac:dyDescent="0.35">
      <c r="C214" s="5" t="str">
        <f t="shared" si="13"/>
        <v/>
      </c>
      <c r="D214" s="1" t="str">
        <f t="shared" si="14"/>
        <v/>
      </c>
      <c r="E214" s="4"/>
      <c r="F214" s="1" t="str">
        <f t="shared" ref="F214:F277" si="15">IF(B214="","",H213*$H$8)</f>
        <v/>
      </c>
      <c r="G214" s="1" t="str">
        <f t="shared" ref="G214:G277" si="16">IF(B214="","",D214-F214)</f>
        <v/>
      </c>
      <c r="H214" s="1" t="str">
        <f t="shared" ref="H214:H277" si="17">IF(B214="","",H213-G214-E214)</f>
        <v/>
      </c>
    </row>
    <row r="215" spans="3:8" x14ac:dyDescent="0.35">
      <c r="C215" s="5" t="str">
        <f t="shared" ref="C215:C278" si="18">IF(B215="","",EOMONTH(C214,0)+1)</f>
        <v/>
      </c>
      <c r="D215" s="1" t="str">
        <f t="shared" ref="D215:D278" si="19">IF(B215="","",MIN(H214+F215,$D$15))</f>
        <v/>
      </c>
      <c r="E215" s="4"/>
      <c r="F215" s="1" t="str">
        <f t="shared" si="15"/>
        <v/>
      </c>
      <c r="G215" s="1" t="str">
        <f t="shared" si="16"/>
        <v/>
      </c>
      <c r="H215" s="1" t="str">
        <f t="shared" si="17"/>
        <v/>
      </c>
    </row>
    <row r="216" spans="3:8" x14ac:dyDescent="0.35">
      <c r="C216" s="5" t="str">
        <f t="shared" si="18"/>
        <v/>
      </c>
      <c r="D216" s="1" t="str">
        <f t="shared" si="19"/>
        <v/>
      </c>
      <c r="E216" s="4"/>
      <c r="F216" s="1" t="str">
        <f t="shared" si="15"/>
        <v/>
      </c>
      <c r="G216" s="1" t="str">
        <f t="shared" si="16"/>
        <v/>
      </c>
      <c r="H216" s="1" t="str">
        <f t="shared" si="17"/>
        <v/>
      </c>
    </row>
    <row r="217" spans="3:8" x14ac:dyDescent="0.35">
      <c r="C217" s="5" t="str">
        <f t="shared" si="18"/>
        <v/>
      </c>
      <c r="D217" s="1" t="str">
        <f t="shared" si="19"/>
        <v/>
      </c>
      <c r="E217" s="4"/>
      <c r="F217" s="1" t="str">
        <f t="shared" si="15"/>
        <v/>
      </c>
      <c r="G217" s="1" t="str">
        <f t="shared" si="16"/>
        <v/>
      </c>
      <c r="H217" s="1" t="str">
        <f t="shared" si="17"/>
        <v/>
      </c>
    </row>
    <row r="218" spans="3:8" x14ac:dyDescent="0.35">
      <c r="C218" s="5" t="str">
        <f t="shared" si="18"/>
        <v/>
      </c>
      <c r="D218" s="1" t="str">
        <f t="shared" si="19"/>
        <v/>
      </c>
      <c r="E218" s="4"/>
      <c r="F218" s="1" t="str">
        <f t="shared" si="15"/>
        <v/>
      </c>
      <c r="G218" s="1" t="str">
        <f t="shared" si="16"/>
        <v/>
      </c>
      <c r="H218" s="1" t="str">
        <f t="shared" si="17"/>
        <v/>
      </c>
    </row>
    <row r="219" spans="3:8" x14ac:dyDescent="0.35">
      <c r="C219" s="5" t="str">
        <f t="shared" si="18"/>
        <v/>
      </c>
      <c r="D219" s="1" t="str">
        <f t="shared" si="19"/>
        <v/>
      </c>
      <c r="E219" s="4"/>
      <c r="F219" s="1" t="str">
        <f t="shared" si="15"/>
        <v/>
      </c>
      <c r="G219" s="1" t="str">
        <f t="shared" si="16"/>
        <v/>
      </c>
      <c r="H219" s="1" t="str">
        <f t="shared" si="17"/>
        <v/>
      </c>
    </row>
    <row r="220" spans="3:8" x14ac:dyDescent="0.35">
      <c r="C220" s="5" t="str">
        <f t="shared" si="18"/>
        <v/>
      </c>
      <c r="D220" s="1" t="str">
        <f t="shared" si="19"/>
        <v/>
      </c>
      <c r="E220" s="4"/>
      <c r="F220" s="1" t="str">
        <f t="shared" si="15"/>
        <v/>
      </c>
      <c r="G220" s="1" t="str">
        <f t="shared" si="16"/>
        <v/>
      </c>
      <c r="H220" s="1" t="str">
        <f t="shared" si="17"/>
        <v/>
      </c>
    </row>
    <row r="221" spans="3:8" x14ac:dyDescent="0.35">
      <c r="C221" s="5" t="str">
        <f t="shared" si="18"/>
        <v/>
      </c>
      <c r="D221" s="1" t="str">
        <f t="shared" si="19"/>
        <v/>
      </c>
      <c r="E221" s="4"/>
      <c r="F221" s="1" t="str">
        <f t="shared" si="15"/>
        <v/>
      </c>
      <c r="G221" s="1" t="str">
        <f t="shared" si="16"/>
        <v/>
      </c>
      <c r="H221" s="1" t="str">
        <f t="shared" si="17"/>
        <v/>
      </c>
    </row>
    <row r="222" spans="3:8" x14ac:dyDescent="0.35">
      <c r="C222" s="5" t="str">
        <f t="shared" si="18"/>
        <v/>
      </c>
      <c r="D222" s="1" t="str">
        <f t="shared" si="19"/>
        <v/>
      </c>
      <c r="E222" s="4"/>
      <c r="F222" s="1" t="str">
        <f t="shared" si="15"/>
        <v/>
      </c>
      <c r="G222" s="1" t="str">
        <f t="shared" si="16"/>
        <v/>
      </c>
      <c r="H222" s="1" t="str">
        <f t="shared" si="17"/>
        <v/>
      </c>
    </row>
    <row r="223" spans="3:8" x14ac:dyDescent="0.35">
      <c r="C223" s="5" t="str">
        <f t="shared" si="18"/>
        <v/>
      </c>
      <c r="D223" s="1" t="str">
        <f t="shared" si="19"/>
        <v/>
      </c>
      <c r="E223" s="4"/>
      <c r="F223" s="1" t="str">
        <f t="shared" si="15"/>
        <v/>
      </c>
      <c r="G223" s="1" t="str">
        <f t="shared" si="16"/>
        <v/>
      </c>
      <c r="H223" s="1" t="str">
        <f t="shared" si="17"/>
        <v/>
      </c>
    </row>
    <row r="224" spans="3:8" x14ac:dyDescent="0.35">
      <c r="C224" s="5" t="str">
        <f t="shared" si="18"/>
        <v/>
      </c>
      <c r="D224" s="1" t="str">
        <f t="shared" si="19"/>
        <v/>
      </c>
      <c r="E224" s="4"/>
      <c r="F224" s="1" t="str">
        <f t="shared" si="15"/>
        <v/>
      </c>
      <c r="G224" s="1" t="str">
        <f t="shared" si="16"/>
        <v/>
      </c>
      <c r="H224" s="1" t="str">
        <f t="shared" si="17"/>
        <v/>
      </c>
    </row>
    <row r="225" spans="3:8" x14ac:dyDescent="0.35">
      <c r="C225" s="5" t="str">
        <f t="shared" si="18"/>
        <v/>
      </c>
      <c r="D225" s="1" t="str">
        <f t="shared" si="19"/>
        <v/>
      </c>
      <c r="E225" s="4"/>
      <c r="F225" s="1" t="str">
        <f t="shared" si="15"/>
        <v/>
      </c>
      <c r="G225" s="1" t="str">
        <f t="shared" si="16"/>
        <v/>
      </c>
      <c r="H225" s="1" t="str">
        <f t="shared" si="17"/>
        <v/>
      </c>
    </row>
    <row r="226" spans="3:8" x14ac:dyDescent="0.35">
      <c r="C226" s="5" t="str">
        <f t="shared" si="18"/>
        <v/>
      </c>
      <c r="D226" s="1" t="str">
        <f t="shared" si="19"/>
        <v/>
      </c>
      <c r="E226" s="4"/>
      <c r="F226" s="1" t="str">
        <f t="shared" si="15"/>
        <v/>
      </c>
      <c r="G226" s="1" t="str">
        <f t="shared" si="16"/>
        <v/>
      </c>
      <c r="H226" s="1" t="str">
        <f t="shared" si="17"/>
        <v/>
      </c>
    </row>
    <row r="227" spans="3:8" x14ac:dyDescent="0.35">
      <c r="C227" s="5" t="str">
        <f t="shared" si="18"/>
        <v/>
      </c>
      <c r="D227" s="1" t="str">
        <f t="shared" si="19"/>
        <v/>
      </c>
      <c r="E227" s="4"/>
      <c r="F227" s="1" t="str">
        <f t="shared" si="15"/>
        <v/>
      </c>
      <c r="G227" s="1" t="str">
        <f t="shared" si="16"/>
        <v/>
      </c>
      <c r="H227" s="1" t="str">
        <f t="shared" si="17"/>
        <v/>
      </c>
    </row>
    <row r="228" spans="3:8" x14ac:dyDescent="0.35">
      <c r="C228" s="5" t="str">
        <f t="shared" si="18"/>
        <v/>
      </c>
      <c r="D228" s="1" t="str">
        <f t="shared" si="19"/>
        <v/>
      </c>
      <c r="E228" s="4"/>
      <c r="F228" s="1" t="str">
        <f t="shared" si="15"/>
        <v/>
      </c>
      <c r="G228" s="1" t="str">
        <f t="shared" si="16"/>
        <v/>
      </c>
      <c r="H228" s="1" t="str">
        <f t="shared" si="17"/>
        <v/>
      </c>
    </row>
    <row r="229" spans="3:8" x14ac:dyDescent="0.35">
      <c r="C229" s="5" t="str">
        <f t="shared" si="18"/>
        <v/>
      </c>
      <c r="D229" s="1" t="str">
        <f t="shared" si="19"/>
        <v/>
      </c>
      <c r="E229" s="4"/>
      <c r="F229" s="1" t="str">
        <f t="shared" si="15"/>
        <v/>
      </c>
      <c r="G229" s="1" t="str">
        <f t="shared" si="16"/>
        <v/>
      </c>
      <c r="H229" s="1" t="str">
        <f t="shared" si="17"/>
        <v/>
      </c>
    </row>
    <row r="230" spans="3:8" x14ac:dyDescent="0.35">
      <c r="C230" s="5" t="str">
        <f t="shared" si="18"/>
        <v/>
      </c>
      <c r="D230" s="1" t="str">
        <f t="shared" si="19"/>
        <v/>
      </c>
      <c r="E230" s="4"/>
      <c r="F230" s="1" t="str">
        <f t="shared" si="15"/>
        <v/>
      </c>
      <c r="G230" s="1" t="str">
        <f t="shared" si="16"/>
        <v/>
      </c>
      <c r="H230" s="1" t="str">
        <f t="shared" si="17"/>
        <v/>
      </c>
    </row>
    <row r="231" spans="3:8" x14ac:dyDescent="0.35">
      <c r="C231" s="5" t="str">
        <f t="shared" si="18"/>
        <v/>
      </c>
      <c r="D231" s="1" t="str">
        <f t="shared" si="19"/>
        <v/>
      </c>
      <c r="E231" s="4"/>
      <c r="F231" s="1" t="str">
        <f t="shared" si="15"/>
        <v/>
      </c>
      <c r="G231" s="1" t="str">
        <f t="shared" si="16"/>
        <v/>
      </c>
      <c r="H231" s="1" t="str">
        <f t="shared" si="17"/>
        <v/>
      </c>
    </row>
    <row r="232" spans="3:8" x14ac:dyDescent="0.35">
      <c r="C232" s="5" t="str">
        <f t="shared" si="18"/>
        <v/>
      </c>
      <c r="D232" s="1" t="str">
        <f t="shared" si="19"/>
        <v/>
      </c>
      <c r="E232" s="4"/>
      <c r="F232" s="1" t="str">
        <f t="shared" si="15"/>
        <v/>
      </c>
      <c r="G232" s="1" t="str">
        <f t="shared" si="16"/>
        <v/>
      </c>
      <c r="H232" s="1" t="str">
        <f t="shared" si="17"/>
        <v/>
      </c>
    </row>
    <row r="233" spans="3:8" x14ac:dyDescent="0.35">
      <c r="C233" s="5" t="str">
        <f t="shared" si="18"/>
        <v/>
      </c>
      <c r="D233" s="1" t="str">
        <f t="shared" si="19"/>
        <v/>
      </c>
      <c r="E233" s="4"/>
      <c r="F233" s="1" t="str">
        <f t="shared" si="15"/>
        <v/>
      </c>
      <c r="G233" s="1" t="str">
        <f t="shared" si="16"/>
        <v/>
      </c>
      <c r="H233" s="1" t="str">
        <f t="shared" si="17"/>
        <v/>
      </c>
    </row>
    <row r="234" spans="3:8" x14ac:dyDescent="0.35">
      <c r="C234" s="5" t="str">
        <f t="shared" si="18"/>
        <v/>
      </c>
      <c r="D234" s="1" t="str">
        <f t="shared" si="19"/>
        <v/>
      </c>
      <c r="E234" s="4"/>
      <c r="F234" s="1" t="str">
        <f t="shared" si="15"/>
        <v/>
      </c>
      <c r="G234" s="1" t="str">
        <f t="shared" si="16"/>
        <v/>
      </c>
      <c r="H234" s="1" t="str">
        <f t="shared" si="17"/>
        <v/>
      </c>
    </row>
    <row r="235" spans="3:8" x14ac:dyDescent="0.35">
      <c r="C235" s="5" t="str">
        <f t="shared" si="18"/>
        <v/>
      </c>
      <c r="D235" s="1" t="str">
        <f t="shared" si="19"/>
        <v/>
      </c>
      <c r="E235" s="4"/>
      <c r="F235" s="1" t="str">
        <f t="shared" si="15"/>
        <v/>
      </c>
      <c r="G235" s="1" t="str">
        <f t="shared" si="16"/>
        <v/>
      </c>
      <c r="H235" s="1" t="str">
        <f t="shared" si="17"/>
        <v/>
      </c>
    </row>
    <row r="236" spans="3:8" x14ac:dyDescent="0.35">
      <c r="C236" s="5" t="str">
        <f t="shared" si="18"/>
        <v/>
      </c>
      <c r="D236" s="1" t="str">
        <f t="shared" si="19"/>
        <v/>
      </c>
      <c r="E236" s="4"/>
      <c r="F236" s="1" t="str">
        <f t="shared" si="15"/>
        <v/>
      </c>
      <c r="G236" s="1" t="str">
        <f t="shared" si="16"/>
        <v/>
      </c>
      <c r="H236" s="1" t="str">
        <f t="shared" si="17"/>
        <v/>
      </c>
    </row>
    <row r="237" spans="3:8" x14ac:dyDescent="0.35">
      <c r="C237" s="5" t="str">
        <f t="shared" si="18"/>
        <v/>
      </c>
      <c r="D237" s="1" t="str">
        <f t="shared" si="19"/>
        <v/>
      </c>
      <c r="E237" s="4"/>
      <c r="F237" s="1" t="str">
        <f t="shared" si="15"/>
        <v/>
      </c>
      <c r="G237" s="1" t="str">
        <f t="shared" si="16"/>
        <v/>
      </c>
      <c r="H237" s="1" t="str">
        <f t="shared" si="17"/>
        <v/>
      </c>
    </row>
    <row r="238" spans="3:8" x14ac:dyDescent="0.35">
      <c r="C238" s="5" t="str">
        <f t="shared" si="18"/>
        <v/>
      </c>
      <c r="D238" s="1" t="str">
        <f t="shared" si="19"/>
        <v/>
      </c>
      <c r="E238" s="4"/>
      <c r="F238" s="1" t="str">
        <f t="shared" si="15"/>
        <v/>
      </c>
      <c r="G238" s="1" t="str">
        <f t="shared" si="16"/>
        <v/>
      </c>
      <c r="H238" s="1" t="str">
        <f t="shared" si="17"/>
        <v/>
      </c>
    </row>
    <row r="239" spans="3:8" x14ac:dyDescent="0.35">
      <c r="C239" s="5" t="str">
        <f t="shared" si="18"/>
        <v/>
      </c>
      <c r="D239" s="1" t="str">
        <f t="shared" si="19"/>
        <v/>
      </c>
      <c r="E239" s="4"/>
      <c r="F239" s="1" t="str">
        <f t="shared" si="15"/>
        <v/>
      </c>
      <c r="G239" s="1" t="str">
        <f t="shared" si="16"/>
        <v/>
      </c>
      <c r="H239" s="1" t="str">
        <f t="shared" si="17"/>
        <v/>
      </c>
    </row>
    <row r="240" spans="3:8" x14ac:dyDescent="0.35">
      <c r="C240" s="5" t="str">
        <f t="shared" si="18"/>
        <v/>
      </c>
      <c r="D240" s="1" t="str">
        <f t="shared" si="19"/>
        <v/>
      </c>
      <c r="E240" s="4"/>
      <c r="F240" s="1" t="str">
        <f t="shared" si="15"/>
        <v/>
      </c>
      <c r="G240" s="1" t="str">
        <f t="shared" si="16"/>
        <v/>
      </c>
      <c r="H240" s="1" t="str">
        <f t="shared" si="17"/>
        <v/>
      </c>
    </row>
    <row r="241" spans="3:8" x14ac:dyDescent="0.35">
      <c r="C241" s="5" t="str">
        <f t="shared" si="18"/>
        <v/>
      </c>
      <c r="D241" s="1" t="str">
        <f t="shared" si="19"/>
        <v/>
      </c>
      <c r="E241" s="4"/>
      <c r="F241" s="1" t="str">
        <f t="shared" si="15"/>
        <v/>
      </c>
      <c r="G241" s="1" t="str">
        <f t="shared" si="16"/>
        <v/>
      </c>
      <c r="H241" s="1" t="str">
        <f t="shared" si="17"/>
        <v/>
      </c>
    </row>
    <row r="242" spans="3:8" x14ac:dyDescent="0.35">
      <c r="C242" s="5" t="str">
        <f t="shared" si="18"/>
        <v/>
      </c>
      <c r="D242" s="1" t="str">
        <f t="shared" si="19"/>
        <v/>
      </c>
      <c r="E242" s="4"/>
      <c r="F242" s="1" t="str">
        <f t="shared" si="15"/>
        <v/>
      </c>
      <c r="G242" s="1" t="str">
        <f t="shared" si="16"/>
        <v/>
      </c>
      <c r="H242" s="1" t="str">
        <f t="shared" si="17"/>
        <v/>
      </c>
    </row>
    <row r="243" spans="3:8" x14ac:dyDescent="0.35">
      <c r="C243" s="5" t="str">
        <f t="shared" si="18"/>
        <v/>
      </c>
      <c r="D243" s="1" t="str">
        <f t="shared" si="19"/>
        <v/>
      </c>
      <c r="E243" s="4"/>
      <c r="F243" s="1" t="str">
        <f t="shared" si="15"/>
        <v/>
      </c>
      <c r="G243" s="1" t="str">
        <f t="shared" si="16"/>
        <v/>
      </c>
      <c r="H243" s="1" t="str">
        <f t="shared" si="17"/>
        <v/>
      </c>
    </row>
    <row r="244" spans="3:8" x14ac:dyDescent="0.35">
      <c r="C244" s="5" t="str">
        <f t="shared" si="18"/>
        <v/>
      </c>
      <c r="D244" s="1" t="str">
        <f t="shared" si="19"/>
        <v/>
      </c>
      <c r="E244" s="4"/>
      <c r="F244" s="1" t="str">
        <f t="shared" si="15"/>
        <v/>
      </c>
      <c r="G244" s="1" t="str">
        <f t="shared" si="16"/>
        <v/>
      </c>
      <c r="H244" s="1" t="str">
        <f t="shared" si="17"/>
        <v/>
      </c>
    </row>
    <row r="245" spans="3:8" x14ac:dyDescent="0.35">
      <c r="C245" s="5" t="str">
        <f t="shared" si="18"/>
        <v/>
      </c>
      <c r="D245" s="1" t="str">
        <f t="shared" si="19"/>
        <v/>
      </c>
      <c r="E245" s="4"/>
      <c r="F245" s="1" t="str">
        <f t="shared" si="15"/>
        <v/>
      </c>
      <c r="G245" s="1" t="str">
        <f t="shared" si="16"/>
        <v/>
      </c>
      <c r="H245" s="1" t="str">
        <f t="shared" si="17"/>
        <v/>
      </c>
    </row>
    <row r="246" spans="3:8" x14ac:dyDescent="0.35">
      <c r="C246" s="5" t="str">
        <f t="shared" si="18"/>
        <v/>
      </c>
      <c r="D246" s="1" t="str">
        <f t="shared" si="19"/>
        <v/>
      </c>
      <c r="E246" s="4"/>
      <c r="F246" s="1" t="str">
        <f t="shared" si="15"/>
        <v/>
      </c>
      <c r="G246" s="1" t="str">
        <f t="shared" si="16"/>
        <v/>
      </c>
      <c r="H246" s="1" t="str">
        <f t="shared" si="17"/>
        <v/>
      </c>
    </row>
    <row r="247" spans="3:8" x14ac:dyDescent="0.35">
      <c r="C247" s="5" t="str">
        <f t="shared" si="18"/>
        <v/>
      </c>
      <c r="D247" s="1" t="str">
        <f t="shared" si="19"/>
        <v/>
      </c>
      <c r="E247" s="4"/>
      <c r="F247" s="1" t="str">
        <f t="shared" si="15"/>
        <v/>
      </c>
      <c r="G247" s="1" t="str">
        <f t="shared" si="16"/>
        <v/>
      </c>
      <c r="H247" s="1" t="str">
        <f t="shared" si="17"/>
        <v/>
      </c>
    </row>
    <row r="248" spans="3:8" x14ac:dyDescent="0.35">
      <c r="C248" s="5" t="str">
        <f t="shared" si="18"/>
        <v/>
      </c>
      <c r="D248" s="1" t="str">
        <f t="shared" si="19"/>
        <v/>
      </c>
      <c r="E248" s="4"/>
      <c r="F248" s="1" t="str">
        <f t="shared" si="15"/>
        <v/>
      </c>
      <c r="G248" s="1" t="str">
        <f t="shared" si="16"/>
        <v/>
      </c>
      <c r="H248" s="1" t="str">
        <f t="shared" si="17"/>
        <v/>
      </c>
    </row>
    <row r="249" spans="3:8" x14ac:dyDescent="0.35">
      <c r="C249" s="5" t="str">
        <f t="shared" si="18"/>
        <v/>
      </c>
      <c r="D249" s="1" t="str">
        <f t="shared" si="19"/>
        <v/>
      </c>
      <c r="E249" s="4"/>
      <c r="F249" s="1" t="str">
        <f t="shared" si="15"/>
        <v/>
      </c>
      <c r="G249" s="1" t="str">
        <f t="shared" si="16"/>
        <v/>
      </c>
      <c r="H249" s="1" t="str">
        <f t="shared" si="17"/>
        <v/>
      </c>
    </row>
    <row r="250" spans="3:8" x14ac:dyDescent="0.35">
      <c r="C250" s="5" t="str">
        <f t="shared" si="18"/>
        <v/>
      </c>
      <c r="D250" s="1" t="str">
        <f t="shared" si="19"/>
        <v/>
      </c>
      <c r="E250" s="4"/>
      <c r="F250" s="1" t="str">
        <f t="shared" si="15"/>
        <v/>
      </c>
      <c r="G250" s="1" t="str">
        <f t="shared" si="16"/>
        <v/>
      </c>
      <c r="H250" s="1" t="str">
        <f t="shared" si="17"/>
        <v/>
      </c>
    </row>
    <row r="251" spans="3:8" x14ac:dyDescent="0.35">
      <c r="C251" s="5" t="str">
        <f t="shared" si="18"/>
        <v/>
      </c>
      <c r="D251" s="1" t="str">
        <f t="shared" si="19"/>
        <v/>
      </c>
      <c r="E251" s="4"/>
      <c r="F251" s="1" t="str">
        <f t="shared" si="15"/>
        <v/>
      </c>
      <c r="G251" s="1" t="str">
        <f t="shared" si="16"/>
        <v/>
      </c>
      <c r="H251" s="1" t="str">
        <f t="shared" si="17"/>
        <v/>
      </c>
    </row>
    <row r="252" spans="3:8" x14ac:dyDescent="0.35">
      <c r="C252" s="5" t="str">
        <f t="shared" si="18"/>
        <v/>
      </c>
      <c r="D252" s="1" t="str">
        <f t="shared" si="19"/>
        <v/>
      </c>
      <c r="E252" s="4"/>
      <c r="F252" s="1" t="str">
        <f t="shared" si="15"/>
        <v/>
      </c>
      <c r="G252" s="1" t="str">
        <f t="shared" si="16"/>
        <v/>
      </c>
      <c r="H252" s="1" t="str">
        <f t="shared" si="17"/>
        <v/>
      </c>
    </row>
    <row r="253" spans="3:8" x14ac:dyDescent="0.35">
      <c r="C253" s="5" t="str">
        <f t="shared" si="18"/>
        <v/>
      </c>
      <c r="D253" s="1" t="str">
        <f t="shared" si="19"/>
        <v/>
      </c>
      <c r="E253" s="4"/>
      <c r="F253" s="1" t="str">
        <f t="shared" si="15"/>
        <v/>
      </c>
      <c r="G253" s="1" t="str">
        <f t="shared" si="16"/>
        <v/>
      </c>
      <c r="H253" s="1" t="str">
        <f t="shared" si="17"/>
        <v/>
      </c>
    </row>
    <row r="254" spans="3:8" x14ac:dyDescent="0.35">
      <c r="C254" s="5" t="str">
        <f t="shared" si="18"/>
        <v/>
      </c>
      <c r="D254" s="1" t="str">
        <f t="shared" si="19"/>
        <v/>
      </c>
      <c r="E254" s="4"/>
      <c r="F254" s="1" t="str">
        <f t="shared" si="15"/>
        <v/>
      </c>
      <c r="G254" s="1" t="str">
        <f t="shared" si="16"/>
        <v/>
      </c>
      <c r="H254" s="1" t="str">
        <f t="shared" si="17"/>
        <v/>
      </c>
    </row>
    <row r="255" spans="3:8" x14ac:dyDescent="0.35">
      <c r="C255" s="5" t="str">
        <f t="shared" si="18"/>
        <v/>
      </c>
      <c r="D255" s="1" t="str">
        <f t="shared" si="19"/>
        <v/>
      </c>
      <c r="E255" s="4"/>
      <c r="F255" s="1" t="str">
        <f t="shared" si="15"/>
        <v/>
      </c>
      <c r="G255" s="1" t="str">
        <f t="shared" si="16"/>
        <v/>
      </c>
      <c r="H255" s="1" t="str">
        <f t="shared" si="17"/>
        <v/>
      </c>
    </row>
    <row r="256" spans="3:8" x14ac:dyDescent="0.35">
      <c r="C256" s="5" t="str">
        <f t="shared" si="18"/>
        <v/>
      </c>
      <c r="D256" s="1" t="str">
        <f t="shared" si="19"/>
        <v/>
      </c>
      <c r="E256" s="4"/>
      <c r="F256" s="1" t="str">
        <f t="shared" si="15"/>
        <v/>
      </c>
      <c r="G256" s="1" t="str">
        <f t="shared" si="16"/>
        <v/>
      </c>
      <c r="H256" s="1" t="str">
        <f t="shared" si="17"/>
        <v/>
      </c>
    </row>
    <row r="257" spans="3:8" x14ac:dyDescent="0.35">
      <c r="C257" s="5" t="str">
        <f t="shared" si="18"/>
        <v/>
      </c>
      <c r="D257" s="1" t="str">
        <f t="shared" si="19"/>
        <v/>
      </c>
      <c r="E257" s="4"/>
      <c r="F257" s="1" t="str">
        <f t="shared" si="15"/>
        <v/>
      </c>
      <c r="G257" s="1" t="str">
        <f t="shared" si="16"/>
        <v/>
      </c>
      <c r="H257" s="1" t="str">
        <f t="shared" si="17"/>
        <v/>
      </c>
    </row>
    <row r="258" spans="3:8" x14ac:dyDescent="0.35">
      <c r="C258" s="5" t="str">
        <f t="shared" si="18"/>
        <v/>
      </c>
      <c r="D258" s="1" t="str">
        <f t="shared" si="19"/>
        <v/>
      </c>
      <c r="E258" s="4"/>
      <c r="F258" s="1" t="str">
        <f t="shared" si="15"/>
        <v/>
      </c>
      <c r="G258" s="1" t="str">
        <f t="shared" si="16"/>
        <v/>
      </c>
      <c r="H258" s="1" t="str">
        <f t="shared" si="17"/>
        <v/>
      </c>
    </row>
    <row r="259" spans="3:8" x14ac:dyDescent="0.35">
      <c r="C259" s="5" t="str">
        <f t="shared" si="18"/>
        <v/>
      </c>
      <c r="D259" s="1" t="str">
        <f t="shared" si="19"/>
        <v/>
      </c>
      <c r="E259" s="4"/>
      <c r="F259" s="1" t="str">
        <f t="shared" si="15"/>
        <v/>
      </c>
      <c r="G259" s="1" t="str">
        <f t="shared" si="16"/>
        <v/>
      </c>
      <c r="H259" s="1" t="str">
        <f t="shared" si="17"/>
        <v/>
      </c>
    </row>
    <row r="260" spans="3:8" x14ac:dyDescent="0.35">
      <c r="C260" s="5" t="str">
        <f t="shared" si="18"/>
        <v/>
      </c>
      <c r="D260" s="1" t="str">
        <f t="shared" si="19"/>
        <v/>
      </c>
      <c r="E260" s="4"/>
      <c r="F260" s="1" t="str">
        <f t="shared" si="15"/>
        <v/>
      </c>
      <c r="G260" s="1" t="str">
        <f t="shared" si="16"/>
        <v/>
      </c>
      <c r="H260" s="1" t="str">
        <f t="shared" si="17"/>
        <v/>
      </c>
    </row>
    <row r="261" spans="3:8" x14ac:dyDescent="0.35">
      <c r="C261" s="5" t="str">
        <f t="shared" si="18"/>
        <v/>
      </c>
      <c r="D261" s="1" t="str">
        <f t="shared" si="19"/>
        <v/>
      </c>
      <c r="E261" s="4"/>
      <c r="F261" s="1" t="str">
        <f t="shared" si="15"/>
        <v/>
      </c>
      <c r="G261" s="1" t="str">
        <f t="shared" si="16"/>
        <v/>
      </c>
      <c r="H261" s="1" t="str">
        <f t="shared" si="17"/>
        <v/>
      </c>
    </row>
    <row r="262" spans="3:8" x14ac:dyDescent="0.35">
      <c r="C262" s="5" t="str">
        <f t="shared" si="18"/>
        <v/>
      </c>
      <c r="D262" s="1" t="str">
        <f t="shared" si="19"/>
        <v/>
      </c>
      <c r="E262" s="4"/>
      <c r="F262" s="1" t="str">
        <f t="shared" si="15"/>
        <v/>
      </c>
      <c r="G262" s="1" t="str">
        <f t="shared" si="16"/>
        <v/>
      </c>
      <c r="H262" s="1" t="str">
        <f t="shared" si="17"/>
        <v/>
      </c>
    </row>
    <row r="263" spans="3:8" x14ac:dyDescent="0.35">
      <c r="C263" s="5" t="str">
        <f t="shared" si="18"/>
        <v/>
      </c>
      <c r="D263" s="1" t="str">
        <f t="shared" si="19"/>
        <v/>
      </c>
      <c r="E263" s="4"/>
      <c r="F263" s="1" t="str">
        <f t="shared" si="15"/>
        <v/>
      </c>
      <c r="G263" s="1" t="str">
        <f t="shared" si="16"/>
        <v/>
      </c>
      <c r="H263" s="1" t="str">
        <f t="shared" si="17"/>
        <v/>
      </c>
    </row>
    <row r="264" spans="3:8" x14ac:dyDescent="0.35">
      <c r="C264" s="5" t="str">
        <f t="shared" si="18"/>
        <v/>
      </c>
      <c r="D264" s="1" t="str">
        <f t="shared" si="19"/>
        <v/>
      </c>
      <c r="E264" s="4"/>
      <c r="F264" s="1" t="str">
        <f t="shared" si="15"/>
        <v/>
      </c>
      <c r="G264" s="1" t="str">
        <f t="shared" si="16"/>
        <v/>
      </c>
      <c r="H264" s="1" t="str">
        <f t="shared" si="17"/>
        <v/>
      </c>
    </row>
    <row r="265" spans="3:8" x14ac:dyDescent="0.35">
      <c r="C265" s="5" t="str">
        <f t="shared" si="18"/>
        <v/>
      </c>
      <c r="D265" s="1" t="str">
        <f t="shared" si="19"/>
        <v/>
      </c>
      <c r="E265" s="4"/>
      <c r="F265" s="1" t="str">
        <f t="shared" si="15"/>
        <v/>
      </c>
      <c r="G265" s="1" t="str">
        <f t="shared" si="16"/>
        <v/>
      </c>
      <c r="H265" s="1" t="str">
        <f t="shared" si="17"/>
        <v/>
      </c>
    </row>
    <row r="266" spans="3:8" x14ac:dyDescent="0.35">
      <c r="C266" s="5" t="str">
        <f t="shared" si="18"/>
        <v/>
      </c>
      <c r="D266" s="1" t="str">
        <f t="shared" si="19"/>
        <v/>
      </c>
      <c r="E266" s="4"/>
      <c r="F266" s="1" t="str">
        <f t="shared" si="15"/>
        <v/>
      </c>
      <c r="G266" s="1" t="str">
        <f t="shared" si="16"/>
        <v/>
      </c>
      <c r="H266" s="1" t="str">
        <f t="shared" si="17"/>
        <v/>
      </c>
    </row>
    <row r="267" spans="3:8" x14ac:dyDescent="0.35">
      <c r="C267" s="5" t="str">
        <f t="shared" si="18"/>
        <v/>
      </c>
      <c r="D267" s="1" t="str">
        <f t="shared" si="19"/>
        <v/>
      </c>
      <c r="E267" s="4"/>
      <c r="F267" s="1" t="str">
        <f t="shared" si="15"/>
        <v/>
      </c>
      <c r="G267" s="1" t="str">
        <f t="shared" si="16"/>
        <v/>
      </c>
      <c r="H267" s="1" t="str">
        <f t="shared" si="17"/>
        <v/>
      </c>
    </row>
    <row r="268" spans="3:8" x14ac:dyDescent="0.35">
      <c r="C268" s="5" t="str">
        <f t="shared" si="18"/>
        <v/>
      </c>
      <c r="D268" s="1" t="str">
        <f t="shared" si="19"/>
        <v/>
      </c>
      <c r="E268" s="4"/>
      <c r="F268" s="1" t="str">
        <f t="shared" si="15"/>
        <v/>
      </c>
      <c r="G268" s="1" t="str">
        <f t="shared" si="16"/>
        <v/>
      </c>
      <c r="H268" s="1" t="str">
        <f t="shared" si="17"/>
        <v/>
      </c>
    </row>
    <row r="269" spans="3:8" x14ac:dyDescent="0.35">
      <c r="C269" s="5" t="str">
        <f t="shared" si="18"/>
        <v/>
      </c>
      <c r="D269" s="1" t="str">
        <f t="shared" si="19"/>
        <v/>
      </c>
      <c r="E269" s="4"/>
      <c r="F269" s="1" t="str">
        <f t="shared" si="15"/>
        <v/>
      </c>
      <c r="G269" s="1" t="str">
        <f t="shared" si="16"/>
        <v/>
      </c>
      <c r="H269" s="1" t="str">
        <f t="shared" si="17"/>
        <v/>
      </c>
    </row>
    <row r="270" spans="3:8" x14ac:dyDescent="0.35">
      <c r="C270" s="5" t="str">
        <f t="shared" si="18"/>
        <v/>
      </c>
      <c r="D270" s="1" t="str">
        <f t="shared" si="19"/>
        <v/>
      </c>
      <c r="E270" s="4"/>
      <c r="F270" s="1" t="str">
        <f t="shared" si="15"/>
        <v/>
      </c>
      <c r="G270" s="1" t="str">
        <f t="shared" si="16"/>
        <v/>
      </c>
      <c r="H270" s="1" t="str">
        <f t="shared" si="17"/>
        <v/>
      </c>
    </row>
    <row r="271" spans="3:8" x14ac:dyDescent="0.35">
      <c r="C271" s="5" t="str">
        <f t="shared" si="18"/>
        <v/>
      </c>
      <c r="D271" s="1" t="str">
        <f t="shared" si="19"/>
        <v/>
      </c>
      <c r="E271" s="4"/>
      <c r="F271" s="1" t="str">
        <f t="shared" si="15"/>
        <v/>
      </c>
      <c r="G271" s="1" t="str">
        <f t="shared" si="16"/>
        <v/>
      </c>
      <c r="H271" s="1" t="str">
        <f t="shared" si="17"/>
        <v/>
      </c>
    </row>
    <row r="272" spans="3:8" x14ac:dyDescent="0.35">
      <c r="C272" s="5" t="str">
        <f t="shared" si="18"/>
        <v/>
      </c>
      <c r="D272" s="1" t="str">
        <f t="shared" si="19"/>
        <v/>
      </c>
      <c r="E272" s="4"/>
      <c r="F272" s="1" t="str">
        <f t="shared" si="15"/>
        <v/>
      </c>
      <c r="G272" s="1" t="str">
        <f t="shared" si="16"/>
        <v/>
      </c>
      <c r="H272" s="1" t="str">
        <f t="shared" si="17"/>
        <v/>
      </c>
    </row>
    <row r="273" spans="3:8" x14ac:dyDescent="0.35">
      <c r="C273" s="5" t="str">
        <f t="shared" si="18"/>
        <v/>
      </c>
      <c r="D273" s="1" t="str">
        <f t="shared" si="19"/>
        <v/>
      </c>
      <c r="E273" s="4"/>
      <c r="F273" s="1" t="str">
        <f t="shared" si="15"/>
        <v/>
      </c>
      <c r="G273" s="1" t="str">
        <f t="shared" si="16"/>
        <v/>
      </c>
      <c r="H273" s="1" t="str">
        <f t="shared" si="17"/>
        <v/>
      </c>
    </row>
    <row r="274" spans="3:8" x14ac:dyDescent="0.35">
      <c r="C274" s="5" t="str">
        <f t="shared" si="18"/>
        <v/>
      </c>
      <c r="D274" s="1" t="str">
        <f t="shared" si="19"/>
        <v/>
      </c>
      <c r="E274" s="4"/>
      <c r="F274" s="1" t="str">
        <f t="shared" si="15"/>
        <v/>
      </c>
      <c r="G274" s="1" t="str">
        <f t="shared" si="16"/>
        <v/>
      </c>
      <c r="H274" s="1" t="str">
        <f t="shared" si="17"/>
        <v/>
      </c>
    </row>
    <row r="275" spans="3:8" x14ac:dyDescent="0.35">
      <c r="C275" s="5" t="str">
        <f t="shared" si="18"/>
        <v/>
      </c>
      <c r="D275" s="1" t="str">
        <f t="shared" si="19"/>
        <v/>
      </c>
      <c r="E275" s="4"/>
      <c r="F275" s="1" t="str">
        <f t="shared" si="15"/>
        <v/>
      </c>
      <c r="G275" s="1" t="str">
        <f t="shared" si="16"/>
        <v/>
      </c>
      <c r="H275" s="1" t="str">
        <f t="shared" si="17"/>
        <v/>
      </c>
    </row>
    <row r="276" spans="3:8" x14ac:dyDescent="0.35">
      <c r="C276" s="5" t="str">
        <f t="shared" si="18"/>
        <v/>
      </c>
      <c r="D276" s="1" t="str">
        <f t="shared" si="19"/>
        <v/>
      </c>
      <c r="E276" s="4"/>
      <c r="F276" s="1" t="str">
        <f t="shared" si="15"/>
        <v/>
      </c>
      <c r="G276" s="1" t="str">
        <f t="shared" si="16"/>
        <v/>
      </c>
      <c r="H276" s="1" t="str">
        <f t="shared" si="17"/>
        <v/>
      </c>
    </row>
    <row r="277" spans="3:8" x14ac:dyDescent="0.35">
      <c r="C277" s="5" t="str">
        <f t="shared" si="18"/>
        <v/>
      </c>
      <c r="D277" s="1" t="str">
        <f t="shared" si="19"/>
        <v/>
      </c>
      <c r="E277" s="4"/>
      <c r="F277" s="1" t="str">
        <f t="shared" si="15"/>
        <v/>
      </c>
      <c r="G277" s="1" t="str">
        <f t="shared" si="16"/>
        <v/>
      </c>
      <c r="H277" s="1" t="str">
        <f t="shared" si="17"/>
        <v/>
      </c>
    </row>
    <row r="278" spans="3:8" x14ac:dyDescent="0.35">
      <c r="C278" s="5" t="str">
        <f t="shared" si="18"/>
        <v/>
      </c>
      <c r="D278" s="1" t="str">
        <f t="shared" si="19"/>
        <v/>
      </c>
      <c r="E278" s="4"/>
      <c r="F278" s="1" t="str">
        <f t="shared" ref="F278:F341" si="20">IF(B278="","",H277*$H$8)</f>
        <v/>
      </c>
      <c r="G278" s="1" t="str">
        <f t="shared" ref="G278:G341" si="21">IF(B278="","",D278-F278)</f>
        <v/>
      </c>
      <c r="H278" s="1" t="str">
        <f t="shared" ref="H278:H341" si="22">IF(B278="","",H277-G278-E278)</f>
        <v/>
      </c>
    </row>
    <row r="279" spans="3:8" x14ac:dyDescent="0.35">
      <c r="C279" s="5" t="str">
        <f t="shared" ref="C279:C342" si="23">IF(B279="","",EOMONTH(C278,0)+1)</f>
        <v/>
      </c>
      <c r="D279" s="1" t="str">
        <f t="shared" ref="D279:D342" si="24">IF(B279="","",MIN(H278+F279,$D$15))</f>
        <v/>
      </c>
      <c r="E279" s="4"/>
      <c r="F279" s="1" t="str">
        <f t="shared" si="20"/>
        <v/>
      </c>
      <c r="G279" s="1" t="str">
        <f t="shared" si="21"/>
        <v/>
      </c>
      <c r="H279" s="1" t="str">
        <f t="shared" si="22"/>
        <v/>
      </c>
    </row>
    <row r="280" spans="3:8" x14ac:dyDescent="0.35">
      <c r="C280" s="5" t="str">
        <f t="shared" si="23"/>
        <v/>
      </c>
      <c r="D280" s="1" t="str">
        <f t="shared" si="24"/>
        <v/>
      </c>
      <c r="E280" s="4"/>
      <c r="F280" s="1" t="str">
        <f t="shared" si="20"/>
        <v/>
      </c>
      <c r="G280" s="1" t="str">
        <f t="shared" si="21"/>
        <v/>
      </c>
      <c r="H280" s="1" t="str">
        <f t="shared" si="22"/>
        <v/>
      </c>
    </row>
    <row r="281" spans="3:8" x14ac:dyDescent="0.35">
      <c r="C281" s="5" t="str">
        <f t="shared" si="23"/>
        <v/>
      </c>
      <c r="D281" s="1" t="str">
        <f t="shared" si="24"/>
        <v/>
      </c>
      <c r="E281" s="4"/>
      <c r="F281" s="1" t="str">
        <f t="shared" si="20"/>
        <v/>
      </c>
      <c r="G281" s="1" t="str">
        <f t="shared" si="21"/>
        <v/>
      </c>
      <c r="H281" s="1" t="str">
        <f t="shared" si="22"/>
        <v/>
      </c>
    </row>
    <row r="282" spans="3:8" x14ac:dyDescent="0.35">
      <c r="C282" s="5" t="str">
        <f t="shared" si="23"/>
        <v/>
      </c>
      <c r="D282" s="1" t="str">
        <f t="shared" si="24"/>
        <v/>
      </c>
      <c r="E282" s="4"/>
      <c r="F282" s="1" t="str">
        <f t="shared" si="20"/>
        <v/>
      </c>
      <c r="G282" s="1" t="str">
        <f t="shared" si="21"/>
        <v/>
      </c>
      <c r="H282" s="1" t="str">
        <f t="shared" si="22"/>
        <v/>
      </c>
    </row>
    <row r="283" spans="3:8" x14ac:dyDescent="0.35">
      <c r="C283" s="5" t="str">
        <f t="shared" si="23"/>
        <v/>
      </c>
      <c r="D283" s="1" t="str">
        <f t="shared" si="24"/>
        <v/>
      </c>
      <c r="E283" s="4"/>
      <c r="F283" s="1" t="str">
        <f t="shared" si="20"/>
        <v/>
      </c>
      <c r="G283" s="1" t="str">
        <f t="shared" si="21"/>
        <v/>
      </c>
      <c r="H283" s="1" t="str">
        <f t="shared" si="22"/>
        <v/>
      </c>
    </row>
    <row r="284" spans="3:8" x14ac:dyDescent="0.35">
      <c r="C284" s="5" t="str">
        <f t="shared" si="23"/>
        <v/>
      </c>
      <c r="D284" s="1" t="str">
        <f t="shared" si="24"/>
        <v/>
      </c>
      <c r="E284" s="4"/>
      <c r="F284" s="1" t="str">
        <f t="shared" si="20"/>
        <v/>
      </c>
      <c r="G284" s="1" t="str">
        <f t="shared" si="21"/>
        <v/>
      </c>
      <c r="H284" s="1" t="str">
        <f t="shared" si="22"/>
        <v/>
      </c>
    </row>
    <row r="285" spans="3:8" x14ac:dyDescent="0.35">
      <c r="C285" s="5" t="str">
        <f t="shared" si="23"/>
        <v/>
      </c>
      <c r="D285" s="1" t="str">
        <f t="shared" si="24"/>
        <v/>
      </c>
      <c r="E285" s="4"/>
      <c r="F285" s="1" t="str">
        <f t="shared" si="20"/>
        <v/>
      </c>
      <c r="G285" s="1" t="str">
        <f t="shared" si="21"/>
        <v/>
      </c>
      <c r="H285" s="1" t="str">
        <f t="shared" si="22"/>
        <v/>
      </c>
    </row>
    <row r="286" spans="3:8" x14ac:dyDescent="0.35">
      <c r="C286" s="5" t="str">
        <f t="shared" si="23"/>
        <v/>
      </c>
      <c r="D286" s="1" t="str">
        <f t="shared" si="24"/>
        <v/>
      </c>
      <c r="E286" s="4"/>
      <c r="F286" s="1" t="str">
        <f t="shared" si="20"/>
        <v/>
      </c>
      <c r="G286" s="1" t="str">
        <f t="shared" si="21"/>
        <v/>
      </c>
      <c r="H286" s="1" t="str">
        <f t="shared" si="22"/>
        <v/>
      </c>
    </row>
    <row r="287" spans="3:8" x14ac:dyDescent="0.35">
      <c r="C287" s="5" t="str">
        <f t="shared" si="23"/>
        <v/>
      </c>
      <c r="D287" s="1" t="str">
        <f t="shared" si="24"/>
        <v/>
      </c>
      <c r="E287" s="4"/>
      <c r="F287" s="1" t="str">
        <f t="shared" si="20"/>
        <v/>
      </c>
      <c r="G287" s="1" t="str">
        <f t="shared" si="21"/>
        <v/>
      </c>
      <c r="H287" s="1" t="str">
        <f t="shared" si="22"/>
        <v/>
      </c>
    </row>
    <row r="288" spans="3:8" x14ac:dyDescent="0.35">
      <c r="C288" s="5" t="str">
        <f t="shared" si="23"/>
        <v/>
      </c>
      <c r="D288" s="1" t="str">
        <f t="shared" si="24"/>
        <v/>
      </c>
      <c r="E288" s="4"/>
      <c r="F288" s="1" t="str">
        <f t="shared" si="20"/>
        <v/>
      </c>
      <c r="G288" s="1" t="str">
        <f t="shared" si="21"/>
        <v/>
      </c>
      <c r="H288" s="1" t="str">
        <f t="shared" si="22"/>
        <v/>
      </c>
    </row>
    <row r="289" spans="3:8" x14ac:dyDescent="0.35">
      <c r="C289" s="5" t="str">
        <f t="shared" si="23"/>
        <v/>
      </c>
      <c r="D289" s="1" t="str">
        <f t="shared" si="24"/>
        <v/>
      </c>
      <c r="E289" s="4"/>
      <c r="F289" s="1" t="str">
        <f t="shared" si="20"/>
        <v/>
      </c>
      <c r="G289" s="1" t="str">
        <f t="shared" si="21"/>
        <v/>
      </c>
      <c r="H289" s="1" t="str">
        <f t="shared" si="22"/>
        <v/>
      </c>
    </row>
    <row r="290" spans="3:8" x14ac:dyDescent="0.35">
      <c r="C290" s="5" t="str">
        <f t="shared" si="23"/>
        <v/>
      </c>
      <c r="D290" s="1" t="str">
        <f t="shared" si="24"/>
        <v/>
      </c>
      <c r="E290" s="4"/>
      <c r="F290" s="1" t="str">
        <f t="shared" si="20"/>
        <v/>
      </c>
      <c r="G290" s="1" t="str">
        <f t="shared" si="21"/>
        <v/>
      </c>
      <c r="H290" s="1" t="str">
        <f t="shared" si="22"/>
        <v/>
      </c>
    </row>
    <row r="291" spans="3:8" x14ac:dyDescent="0.35">
      <c r="C291" s="5" t="str">
        <f t="shared" si="23"/>
        <v/>
      </c>
      <c r="D291" s="1" t="str">
        <f t="shared" si="24"/>
        <v/>
      </c>
      <c r="E291" s="4"/>
      <c r="F291" s="1" t="str">
        <f t="shared" si="20"/>
        <v/>
      </c>
      <c r="G291" s="1" t="str">
        <f t="shared" si="21"/>
        <v/>
      </c>
      <c r="H291" s="1" t="str">
        <f t="shared" si="22"/>
        <v/>
      </c>
    </row>
    <row r="292" spans="3:8" x14ac:dyDescent="0.35">
      <c r="C292" s="5" t="str">
        <f t="shared" si="23"/>
        <v/>
      </c>
      <c r="D292" s="1" t="str">
        <f t="shared" si="24"/>
        <v/>
      </c>
      <c r="E292" s="4"/>
      <c r="F292" s="1" t="str">
        <f t="shared" si="20"/>
        <v/>
      </c>
      <c r="G292" s="1" t="str">
        <f t="shared" si="21"/>
        <v/>
      </c>
      <c r="H292" s="1" t="str">
        <f t="shared" si="22"/>
        <v/>
      </c>
    </row>
    <row r="293" spans="3:8" x14ac:dyDescent="0.35">
      <c r="C293" s="5" t="str">
        <f t="shared" si="23"/>
        <v/>
      </c>
      <c r="D293" s="1" t="str">
        <f t="shared" si="24"/>
        <v/>
      </c>
      <c r="E293" s="4"/>
      <c r="F293" s="1" t="str">
        <f t="shared" si="20"/>
        <v/>
      </c>
      <c r="G293" s="1" t="str">
        <f t="shared" si="21"/>
        <v/>
      </c>
      <c r="H293" s="1" t="str">
        <f t="shared" si="22"/>
        <v/>
      </c>
    </row>
    <row r="294" spans="3:8" x14ac:dyDescent="0.35">
      <c r="C294" s="5" t="str">
        <f t="shared" si="23"/>
        <v/>
      </c>
      <c r="D294" s="1" t="str">
        <f t="shared" si="24"/>
        <v/>
      </c>
      <c r="E294" s="4"/>
      <c r="F294" s="1" t="str">
        <f t="shared" si="20"/>
        <v/>
      </c>
      <c r="G294" s="1" t="str">
        <f t="shared" si="21"/>
        <v/>
      </c>
      <c r="H294" s="1" t="str">
        <f t="shared" si="22"/>
        <v/>
      </c>
    </row>
    <row r="295" spans="3:8" x14ac:dyDescent="0.35">
      <c r="C295" s="5" t="str">
        <f t="shared" si="23"/>
        <v/>
      </c>
      <c r="D295" s="1" t="str">
        <f t="shared" si="24"/>
        <v/>
      </c>
      <c r="E295" s="4"/>
      <c r="F295" s="1" t="str">
        <f t="shared" si="20"/>
        <v/>
      </c>
      <c r="G295" s="1" t="str">
        <f t="shared" si="21"/>
        <v/>
      </c>
      <c r="H295" s="1" t="str">
        <f t="shared" si="22"/>
        <v/>
      </c>
    </row>
    <row r="296" spans="3:8" x14ac:dyDescent="0.35">
      <c r="C296" s="5" t="str">
        <f t="shared" si="23"/>
        <v/>
      </c>
      <c r="D296" s="1" t="str">
        <f t="shared" si="24"/>
        <v/>
      </c>
      <c r="E296" s="4"/>
      <c r="F296" s="1" t="str">
        <f t="shared" si="20"/>
        <v/>
      </c>
      <c r="G296" s="1" t="str">
        <f t="shared" si="21"/>
        <v/>
      </c>
      <c r="H296" s="1" t="str">
        <f t="shared" si="22"/>
        <v/>
      </c>
    </row>
    <row r="297" spans="3:8" x14ac:dyDescent="0.35">
      <c r="C297" s="5" t="str">
        <f t="shared" si="23"/>
        <v/>
      </c>
      <c r="D297" s="1" t="str">
        <f t="shared" si="24"/>
        <v/>
      </c>
      <c r="E297" s="4"/>
      <c r="F297" s="1" t="str">
        <f t="shared" si="20"/>
        <v/>
      </c>
      <c r="G297" s="1" t="str">
        <f t="shared" si="21"/>
        <v/>
      </c>
      <c r="H297" s="1" t="str">
        <f t="shared" si="22"/>
        <v/>
      </c>
    </row>
    <row r="298" spans="3:8" x14ac:dyDescent="0.35">
      <c r="C298" s="5" t="str">
        <f t="shared" si="23"/>
        <v/>
      </c>
      <c r="D298" s="1" t="str">
        <f t="shared" si="24"/>
        <v/>
      </c>
      <c r="E298" s="4"/>
      <c r="F298" s="1" t="str">
        <f t="shared" si="20"/>
        <v/>
      </c>
      <c r="G298" s="1" t="str">
        <f t="shared" si="21"/>
        <v/>
      </c>
      <c r="H298" s="1" t="str">
        <f t="shared" si="22"/>
        <v/>
      </c>
    </row>
    <row r="299" spans="3:8" x14ac:dyDescent="0.35">
      <c r="C299" s="5" t="str">
        <f t="shared" si="23"/>
        <v/>
      </c>
      <c r="D299" s="1" t="str">
        <f t="shared" si="24"/>
        <v/>
      </c>
      <c r="E299" s="4"/>
      <c r="F299" s="1" t="str">
        <f t="shared" si="20"/>
        <v/>
      </c>
      <c r="G299" s="1" t="str">
        <f t="shared" si="21"/>
        <v/>
      </c>
      <c r="H299" s="1" t="str">
        <f t="shared" si="22"/>
        <v/>
      </c>
    </row>
    <row r="300" spans="3:8" x14ac:dyDescent="0.35">
      <c r="C300" s="5" t="str">
        <f t="shared" si="23"/>
        <v/>
      </c>
      <c r="D300" s="1" t="str">
        <f t="shared" si="24"/>
        <v/>
      </c>
      <c r="E300" s="4"/>
      <c r="F300" s="1" t="str">
        <f t="shared" si="20"/>
        <v/>
      </c>
      <c r="G300" s="1" t="str">
        <f t="shared" si="21"/>
        <v/>
      </c>
      <c r="H300" s="1" t="str">
        <f t="shared" si="22"/>
        <v/>
      </c>
    </row>
    <row r="301" spans="3:8" x14ac:dyDescent="0.35">
      <c r="C301" s="5" t="str">
        <f t="shared" si="23"/>
        <v/>
      </c>
      <c r="D301" s="1" t="str">
        <f t="shared" si="24"/>
        <v/>
      </c>
      <c r="E301" s="4"/>
      <c r="F301" s="1" t="str">
        <f t="shared" si="20"/>
        <v/>
      </c>
      <c r="G301" s="1" t="str">
        <f t="shared" si="21"/>
        <v/>
      </c>
      <c r="H301" s="1" t="str">
        <f t="shared" si="22"/>
        <v/>
      </c>
    </row>
    <row r="302" spans="3:8" x14ac:dyDescent="0.35">
      <c r="C302" s="5" t="str">
        <f t="shared" si="23"/>
        <v/>
      </c>
      <c r="D302" s="1" t="str">
        <f t="shared" si="24"/>
        <v/>
      </c>
      <c r="E302" s="4"/>
      <c r="F302" s="1" t="str">
        <f t="shared" si="20"/>
        <v/>
      </c>
      <c r="G302" s="1" t="str">
        <f t="shared" si="21"/>
        <v/>
      </c>
      <c r="H302" s="1" t="str">
        <f t="shared" si="22"/>
        <v/>
      </c>
    </row>
    <row r="303" spans="3:8" x14ac:dyDescent="0.35">
      <c r="C303" s="5" t="str">
        <f t="shared" si="23"/>
        <v/>
      </c>
      <c r="D303" s="1" t="str">
        <f t="shared" si="24"/>
        <v/>
      </c>
      <c r="E303" s="4"/>
      <c r="F303" s="1" t="str">
        <f t="shared" si="20"/>
        <v/>
      </c>
      <c r="G303" s="1" t="str">
        <f t="shared" si="21"/>
        <v/>
      </c>
      <c r="H303" s="1" t="str">
        <f t="shared" si="22"/>
        <v/>
      </c>
    </row>
    <row r="304" spans="3:8" x14ac:dyDescent="0.35">
      <c r="C304" s="5" t="str">
        <f t="shared" si="23"/>
        <v/>
      </c>
      <c r="D304" s="1" t="str">
        <f t="shared" si="24"/>
        <v/>
      </c>
      <c r="E304" s="4"/>
      <c r="F304" s="1" t="str">
        <f t="shared" si="20"/>
        <v/>
      </c>
      <c r="G304" s="1" t="str">
        <f t="shared" si="21"/>
        <v/>
      </c>
      <c r="H304" s="1" t="str">
        <f t="shared" si="22"/>
        <v/>
      </c>
    </row>
    <row r="305" spans="3:8" x14ac:dyDescent="0.35">
      <c r="C305" s="5" t="str">
        <f t="shared" si="23"/>
        <v/>
      </c>
      <c r="D305" s="1" t="str">
        <f t="shared" si="24"/>
        <v/>
      </c>
      <c r="E305" s="4"/>
      <c r="F305" s="1" t="str">
        <f t="shared" si="20"/>
        <v/>
      </c>
      <c r="G305" s="1" t="str">
        <f t="shared" si="21"/>
        <v/>
      </c>
      <c r="H305" s="1" t="str">
        <f t="shared" si="22"/>
        <v/>
      </c>
    </row>
    <row r="306" spans="3:8" x14ac:dyDescent="0.35">
      <c r="C306" s="5" t="str">
        <f t="shared" si="23"/>
        <v/>
      </c>
      <c r="D306" s="1" t="str">
        <f t="shared" si="24"/>
        <v/>
      </c>
      <c r="E306" s="4"/>
      <c r="F306" s="1" t="str">
        <f t="shared" si="20"/>
        <v/>
      </c>
      <c r="G306" s="1" t="str">
        <f t="shared" si="21"/>
        <v/>
      </c>
      <c r="H306" s="1" t="str">
        <f t="shared" si="22"/>
        <v/>
      </c>
    </row>
    <row r="307" spans="3:8" x14ac:dyDescent="0.35">
      <c r="C307" s="5" t="str">
        <f t="shared" si="23"/>
        <v/>
      </c>
      <c r="D307" s="1" t="str">
        <f t="shared" si="24"/>
        <v/>
      </c>
      <c r="E307" s="4"/>
      <c r="F307" s="1" t="str">
        <f t="shared" si="20"/>
        <v/>
      </c>
      <c r="G307" s="1" t="str">
        <f t="shared" si="21"/>
        <v/>
      </c>
      <c r="H307" s="1" t="str">
        <f t="shared" si="22"/>
        <v/>
      </c>
    </row>
    <row r="308" spans="3:8" x14ac:dyDescent="0.35">
      <c r="C308" s="5" t="str">
        <f t="shared" si="23"/>
        <v/>
      </c>
      <c r="D308" s="1" t="str">
        <f t="shared" si="24"/>
        <v/>
      </c>
      <c r="E308" s="4"/>
      <c r="F308" s="1" t="str">
        <f t="shared" si="20"/>
        <v/>
      </c>
      <c r="G308" s="1" t="str">
        <f t="shared" si="21"/>
        <v/>
      </c>
      <c r="H308" s="1" t="str">
        <f t="shared" si="22"/>
        <v/>
      </c>
    </row>
    <row r="309" spans="3:8" x14ac:dyDescent="0.35">
      <c r="C309" s="5" t="str">
        <f t="shared" si="23"/>
        <v/>
      </c>
      <c r="D309" s="1" t="str">
        <f t="shared" si="24"/>
        <v/>
      </c>
      <c r="E309" s="4"/>
      <c r="F309" s="1" t="str">
        <f t="shared" si="20"/>
        <v/>
      </c>
      <c r="G309" s="1" t="str">
        <f t="shared" si="21"/>
        <v/>
      </c>
      <c r="H309" s="1" t="str">
        <f t="shared" si="22"/>
        <v/>
      </c>
    </row>
    <row r="310" spans="3:8" x14ac:dyDescent="0.35">
      <c r="C310" s="5" t="str">
        <f t="shared" si="23"/>
        <v/>
      </c>
      <c r="D310" s="1" t="str">
        <f t="shared" si="24"/>
        <v/>
      </c>
      <c r="E310" s="4"/>
      <c r="F310" s="1" t="str">
        <f t="shared" si="20"/>
        <v/>
      </c>
      <c r="G310" s="1" t="str">
        <f t="shared" si="21"/>
        <v/>
      </c>
      <c r="H310" s="1" t="str">
        <f t="shared" si="22"/>
        <v/>
      </c>
    </row>
    <row r="311" spans="3:8" x14ac:dyDescent="0.35">
      <c r="C311" s="5" t="str">
        <f t="shared" si="23"/>
        <v/>
      </c>
      <c r="D311" s="1" t="str">
        <f t="shared" si="24"/>
        <v/>
      </c>
      <c r="E311" s="4"/>
      <c r="F311" s="1" t="str">
        <f t="shared" si="20"/>
        <v/>
      </c>
      <c r="G311" s="1" t="str">
        <f t="shared" si="21"/>
        <v/>
      </c>
      <c r="H311" s="1" t="str">
        <f t="shared" si="22"/>
        <v/>
      </c>
    </row>
    <row r="312" spans="3:8" x14ac:dyDescent="0.35">
      <c r="C312" s="5" t="str">
        <f t="shared" si="23"/>
        <v/>
      </c>
      <c r="D312" s="1" t="str">
        <f t="shared" si="24"/>
        <v/>
      </c>
      <c r="E312" s="4"/>
      <c r="F312" s="1" t="str">
        <f t="shared" si="20"/>
        <v/>
      </c>
      <c r="G312" s="1" t="str">
        <f t="shared" si="21"/>
        <v/>
      </c>
      <c r="H312" s="1" t="str">
        <f t="shared" si="22"/>
        <v/>
      </c>
    </row>
    <row r="313" spans="3:8" x14ac:dyDescent="0.35">
      <c r="C313" s="5" t="str">
        <f t="shared" si="23"/>
        <v/>
      </c>
      <c r="D313" s="1" t="str">
        <f t="shared" si="24"/>
        <v/>
      </c>
      <c r="E313" s="4"/>
      <c r="F313" s="1" t="str">
        <f t="shared" si="20"/>
        <v/>
      </c>
      <c r="G313" s="1" t="str">
        <f t="shared" si="21"/>
        <v/>
      </c>
      <c r="H313" s="1" t="str">
        <f t="shared" si="22"/>
        <v/>
      </c>
    </row>
    <row r="314" spans="3:8" x14ac:dyDescent="0.35">
      <c r="C314" s="5" t="str">
        <f t="shared" si="23"/>
        <v/>
      </c>
      <c r="D314" s="1" t="str">
        <f t="shared" si="24"/>
        <v/>
      </c>
      <c r="E314" s="4"/>
      <c r="F314" s="1" t="str">
        <f t="shared" si="20"/>
        <v/>
      </c>
      <c r="G314" s="1" t="str">
        <f t="shared" si="21"/>
        <v/>
      </c>
      <c r="H314" s="1" t="str">
        <f t="shared" si="22"/>
        <v/>
      </c>
    </row>
    <row r="315" spans="3:8" x14ac:dyDescent="0.35">
      <c r="C315" s="5" t="str">
        <f t="shared" si="23"/>
        <v/>
      </c>
      <c r="D315" s="1" t="str">
        <f t="shared" si="24"/>
        <v/>
      </c>
      <c r="E315" s="4"/>
      <c r="F315" s="1" t="str">
        <f t="shared" si="20"/>
        <v/>
      </c>
      <c r="G315" s="1" t="str">
        <f t="shared" si="21"/>
        <v/>
      </c>
      <c r="H315" s="1" t="str">
        <f t="shared" si="22"/>
        <v/>
      </c>
    </row>
    <row r="316" spans="3:8" x14ac:dyDescent="0.35">
      <c r="C316" s="5" t="str">
        <f t="shared" si="23"/>
        <v/>
      </c>
      <c r="D316" s="1" t="str">
        <f t="shared" si="24"/>
        <v/>
      </c>
      <c r="E316" s="4"/>
      <c r="F316" s="1" t="str">
        <f t="shared" si="20"/>
        <v/>
      </c>
      <c r="G316" s="1" t="str">
        <f t="shared" si="21"/>
        <v/>
      </c>
      <c r="H316" s="1" t="str">
        <f t="shared" si="22"/>
        <v/>
      </c>
    </row>
    <row r="317" spans="3:8" x14ac:dyDescent="0.35">
      <c r="C317" s="5" t="str">
        <f t="shared" si="23"/>
        <v/>
      </c>
      <c r="D317" s="1" t="str">
        <f t="shared" si="24"/>
        <v/>
      </c>
      <c r="E317" s="4"/>
      <c r="F317" s="1" t="str">
        <f t="shared" si="20"/>
        <v/>
      </c>
      <c r="G317" s="1" t="str">
        <f t="shared" si="21"/>
        <v/>
      </c>
      <c r="H317" s="1" t="str">
        <f t="shared" si="22"/>
        <v/>
      </c>
    </row>
    <row r="318" spans="3:8" x14ac:dyDescent="0.35">
      <c r="C318" s="5" t="str">
        <f t="shared" si="23"/>
        <v/>
      </c>
      <c r="D318" s="1" t="str">
        <f t="shared" si="24"/>
        <v/>
      </c>
      <c r="E318" s="4"/>
      <c r="F318" s="1" t="str">
        <f t="shared" si="20"/>
        <v/>
      </c>
      <c r="G318" s="1" t="str">
        <f t="shared" si="21"/>
        <v/>
      </c>
      <c r="H318" s="1" t="str">
        <f t="shared" si="22"/>
        <v/>
      </c>
    </row>
    <row r="319" spans="3:8" x14ac:dyDescent="0.35">
      <c r="C319" s="5" t="str">
        <f t="shared" si="23"/>
        <v/>
      </c>
      <c r="D319" s="1" t="str">
        <f t="shared" si="24"/>
        <v/>
      </c>
      <c r="E319" s="4"/>
      <c r="F319" s="1" t="str">
        <f t="shared" si="20"/>
        <v/>
      </c>
      <c r="G319" s="1" t="str">
        <f t="shared" si="21"/>
        <v/>
      </c>
      <c r="H319" s="1" t="str">
        <f t="shared" si="22"/>
        <v/>
      </c>
    </row>
    <row r="320" spans="3:8" x14ac:dyDescent="0.35">
      <c r="C320" s="5" t="str">
        <f t="shared" si="23"/>
        <v/>
      </c>
      <c r="D320" s="1" t="str">
        <f t="shared" si="24"/>
        <v/>
      </c>
      <c r="E320" s="4"/>
      <c r="F320" s="1" t="str">
        <f t="shared" si="20"/>
        <v/>
      </c>
      <c r="G320" s="1" t="str">
        <f t="shared" si="21"/>
        <v/>
      </c>
      <c r="H320" s="1" t="str">
        <f t="shared" si="22"/>
        <v/>
      </c>
    </row>
    <row r="321" spans="3:8" x14ac:dyDescent="0.35">
      <c r="C321" s="5" t="str">
        <f t="shared" si="23"/>
        <v/>
      </c>
      <c r="D321" s="1" t="str">
        <f t="shared" si="24"/>
        <v/>
      </c>
      <c r="E321" s="4"/>
      <c r="F321" s="1" t="str">
        <f t="shared" si="20"/>
        <v/>
      </c>
      <c r="G321" s="1" t="str">
        <f t="shared" si="21"/>
        <v/>
      </c>
      <c r="H321" s="1" t="str">
        <f t="shared" si="22"/>
        <v/>
      </c>
    </row>
    <row r="322" spans="3:8" x14ac:dyDescent="0.35">
      <c r="C322" s="5" t="str">
        <f t="shared" si="23"/>
        <v/>
      </c>
      <c r="D322" s="1" t="str">
        <f t="shared" si="24"/>
        <v/>
      </c>
      <c r="E322" s="4"/>
      <c r="F322" s="1" t="str">
        <f t="shared" si="20"/>
        <v/>
      </c>
      <c r="G322" s="1" t="str">
        <f t="shared" si="21"/>
        <v/>
      </c>
      <c r="H322" s="1" t="str">
        <f t="shared" si="22"/>
        <v/>
      </c>
    </row>
    <row r="323" spans="3:8" x14ac:dyDescent="0.35">
      <c r="C323" s="5" t="str">
        <f t="shared" si="23"/>
        <v/>
      </c>
      <c r="D323" s="1" t="str">
        <f t="shared" si="24"/>
        <v/>
      </c>
      <c r="E323" s="4"/>
      <c r="F323" s="1" t="str">
        <f t="shared" si="20"/>
        <v/>
      </c>
      <c r="G323" s="1" t="str">
        <f t="shared" si="21"/>
        <v/>
      </c>
      <c r="H323" s="1" t="str">
        <f t="shared" si="22"/>
        <v/>
      </c>
    </row>
    <row r="324" spans="3:8" x14ac:dyDescent="0.35">
      <c r="C324" s="5" t="str">
        <f t="shared" si="23"/>
        <v/>
      </c>
      <c r="D324" s="1" t="str">
        <f t="shared" si="24"/>
        <v/>
      </c>
      <c r="E324" s="4"/>
      <c r="F324" s="1" t="str">
        <f t="shared" si="20"/>
        <v/>
      </c>
      <c r="G324" s="1" t="str">
        <f t="shared" si="21"/>
        <v/>
      </c>
      <c r="H324" s="1" t="str">
        <f t="shared" si="22"/>
        <v/>
      </c>
    </row>
    <row r="325" spans="3:8" x14ac:dyDescent="0.35">
      <c r="C325" s="5" t="str">
        <f t="shared" si="23"/>
        <v/>
      </c>
      <c r="D325" s="1" t="str">
        <f t="shared" si="24"/>
        <v/>
      </c>
      <c r="E325" s="4"/>
      <c r="F325" s="1" t="str">
        <f t="shared" si="20"/>
        <v/>
      </c>
      <c r="G325" s="1" t="str">
        <f t="shared" si="21"/>
        <v/>
      </c>
      <c r="H325" s="1" t="str">
        <f t="shared" si="22"/>
        <v/>
      </c>
    </row>
    <row r="326" spans="3:8" x14ac:dyDescent="0.35">
      <c r="C326" s="5" t="str">
        <f t="shared" si="23"/>
        <v/>
      </c>
      <c r="D326" s="1" t="str">
        <f t="shared" si="24"/>
        <v/>
      </c>
      <c r="E326" s="4"/>
      <c r="F326" s="1" t="str">
        <f t="shared" si="20"/>
        <v/>
      </c>
      <c r="G326" s="1" t="str">
        <f t="shared" si="21"/>
        <v/>
      </c>
      <c r="H326" s="1" t="str">
        <f t="shared" si="22"/>
        <v/>
      </c>
    </row>
    <row r="327" spans="3:8" x14ac:dyDescent="0.35">
      <c r="C327" s="5" t="str">
        <f t="shared" si="23"/>
        <v/>
      </c>
      <c r="D327" s="1" t="str">
        <f t="shared" si="24"/>
        <v/>
      </c>
      <c r="E327" s="4"/>
      <c r="F327" s="1" t="str">
        <f t="shared" si="20"/>
        <v/>
      </c>
      <c r="G327" s="1" t="str">
        <f t="shared" si="21"/>
        <v/>
      </c>
      <c r="H327" s="1" t="str">
        <f t="shared" si="22"/>
        <v/>
      </c>
    </row>
    <row r="328" spans="3:8" x14ac:dyDescent="0.35">
      <c r="C328" s="5" t="str">
        <f t="shared" si="23"/>
        <v/>
      </c>
      <c r="D328" s="1" t="str">
        <f t="shared" si="24"/>
        <v/>
      </c>
      <c r="E328" s="4"/>
      <c r="F328" s="1" t="str">
        <f t="shared" si="20"/>
        <v/>
      </c>
      <c r="G328" s="1" t="str">
        <f t="shared" si="21"/>
        <v/>
      </c>
      <c r="H328" s="1" t="str">
        <f t="shared" si="22"/>
        <v/>
      </c>
    </row>
    <row r="329" spans="3:8" x14ac:dyDescent="0.35">
      <c r="C329" s="5" t="str">
        <f t="shared" si="23"/>
        <v/>
      </c>
      <c r="D329" s="1" t="str">
        <f t="shared" si="24"/>
        <v/>
      </c>
      <c r="E329" s="4"/>
      <c r="F329" s="1" t="str">
        <f t="shared" si="20"/>
        <v/>
      </c>
      <c r="G329" s="1" t="str">
        <f t="shared" si="21"/>
        <v/>
      </c>
      <c r="H329" s="1" t="str">
        <f t="shared" si="22"/>
        <v/>
      </c>
    </row>
    <row r="330" spans="3:8" x14ac:dyDescent="0.35">
      <c r="C330" s="5" t="str">
        <f t="shared" si="23"/>
        <v/>
      </c>
      <c r="D330" s="1" t="str">
        <f t="shared" si="24"/>
        <v/>
      </c>
      <c r="E330" s="4"/>
      <c r="F330" s="1" t="str">
        <f t="shared" si="20"/>
        <v/>
      </c>
      <c r="G330" s="1" t="str">
        <f t="shared" si="21"/>
        <v/>
      </c>
      <c r="H330" s="1" t="str">
        <f t="shared" si="22"/>
        <v/>
      </c>
    </row>
    <row r="331" spans="3:8" x14ac:dyDescent="0.35">
      <c r="C331" s="5" t="str">
        <f t="shared" si="23"/>
        <v/>
      </c>
      <c r="D331" s="1" t="str">
        <f t="shared" si="24"/>
        <v/>
      </c>
      <c r="E331" s="4"/>
      <c r="F331" s="1" t="str">
        <f t="shared" si="20"/>
        <v/>
      </c>
      <c r="G331" s="1" t="str">
        <f t="shared" si="21"/>
        <v/>
      </c>
      <c r="H331" s="1" t="str">
        <f t="shared" si="22"/>
        <v/>
      </c>
    </row>
    <row r="332" spans="3:8" x14ac:dyDescent="0.35">
      <c r="C332" s="5" t="str">
        <f t="shared" si="23"/>
        <v/>
      </c>
      <c r="D332" s="1" t="str">
        <f t="shared" si="24"/>
        <v/>
      </c>
      <c r="E332" s="4"/>
      <c r="F332" s="1" t="str">
        <f t="shared" si="20"/>
        <v/>
      </c>
      <c r="G332" s="1" t="str">
        <f t="shared" si="21"/>
        <v/>
      </c>
      <c r="H332" s="1" t="str">
        <f t="shared" si="22"/>
        <v/>
      </c>
    </row>
    <row r="333" spans="3:8" x14ac:dyDescent="0.35">
      <c r="C333" s="5" t="str">
        <f t="shared" si="23"/>
        <v/>
      </c>
      <c r="D333" s="1" t="str">
        <f t="shared" si="24"/>
        <v/>
      </c>
      <c r="E333" s="4"/>
      <c r="F333" s="1" t="str">
        <f t="shared" si="20"/>
        <v/>
      </c>
      <c r="G333" s="1" t="str">
        <f t="shared" si="21"/>
        <v/>
      </c>
      <c r="H333" s="1" t="str">
        <f t="shared" si="22"/>
        <v/>
      </c>
    </row>
    <row r="334" spans="3:8" x14ac:dyDescent="0.35">
      <c r="C334" s="5" t="str">
        <f t="shared" si="23"/>
        <v/>
      </c>
      <c r="D334" s="1" t="str">
        <f t="shared" si="24"/>
        <v/>
      </c>
      <c r="E334" s="4"/>
      <c r="F334" s="1" t="str">
        <f t="shared" si="20"/>
        <v/>
      </c>
      <c r="G334" s="1" t="str">
        <f t="shared" si="21"/>
        <v/>
      </c>
      <c r="H334" s="1" t="str">
        <f t="shared" si="22"/>
        <v/>
      </c>
    </row>
    <row r="335" spans="3:8" x14ac:dyDescent="0.35">
      <c r="C335" s="5" t="str">
        <f t="shared" si="23"/>
        <v/>
      </c>
      <c r="D335" s="1" t="str">
        <f t="shared" si="24"/>
        <v/>
      </c>
      <c r="E335" s="4"/>
      <c r="F335" s="1" t="str">
        <f t="shared" si="20"/>
        <v/>
      </c>
      <c r="G335" s="1" t="str">
        <f t="shared" si="21"/>
        <v/>
      </c>
      <c r="H335" s="1" t="str">
        <f t="shared" si="22"/>
        <v/>
      </c>
    </row>
    <row r="336" spans="3:8" x14ac:dyDescent="0.35">
      <c r="C336" s="5" t="str">
        <f t="shared" si="23"/>
        <v/>
      </c>
      <c r="D336" s="1" t="str">
        <f t="shared" si="24"/>
        <v/>
      </c>
      <c r="E336" s="4"/>
      <c r="F336" s="1" t="str">
        <f t="shared" si="20"/>
        <v/>
      </c>
      <c r="G336" s="1" t="str">
        <f t="shared" si="21"/>
        <v/>
      </c>
      <c r="H336" s="1" t="str">
        <f t="shared" si="22"/>
        <v/>
      </c>
    </row>
    <row r="337" spans="3:8" x14ac:dyDescent="0.35">
      <c r="C337" s="5" t="str">
        <f t="shared" si="23"/>
        <v/>
      </c>
      <c r="D337" s="1" t="str">
        <f t="shared" si="24"/>
        <v/>
      </c>
      <c r="E337" s="4"/>
      <c r="F337" s="1" t="str">
        <f t="shared" si="20"/>
        <v/>
      </c>
      <c r="G337" s="1" t="str">
        <f t="shared" si="21"/>
        <v/>
      </c>
      <c r="H337" s="1" t="str">
        <f t="shared" si="22"/>
        <v/>
      </c>
    </row>
    <row r="338" spans="3:8" x14ac:dyDescent="0.35">
      <c r="C338" s="5" t="str">
        <f t="shared" si="23"/>
        <v/>
      </c>
      <c r="D338" s="1" t="str">
        <f t="shared" si="24"/>
        <v/>
      </c>
      <c r="E338" s="4"/>
      <c r="F338" s="1" t="str">
        <f t="shared" si="20"/>
        <v/>
      </c>
      <c r="G338" s="1" t="str">
        <f t="shared" si="21"/>
        <v/>
      </c>
      <c r="H338" s="1" t="str">
        <f t="shared" si="22"/>
        <v/>
      </c>
    </row>
    <row r="339" spans="3:8" x14ac:dyDescent="0.35">
      <c r="C339" s="5" t="str">
        <f t="shared" si="23"/>
        <v/>
      </c>
      <c r="D339" s="1" t="str">
        <f t="shared" si="24"/>
        <v/>
      </c>
      <c r="E339" s="4"/>
      <c r="F339" s="1" t="str">
        <f t="shared" si="20"/>
        <v/>
      </c>
      <c r="G339" s="1" t="str">
        <f t="shared" si="21"/>
        <v/>
      </c>
      <c r="H339" s="1" t="str">
        <f t="shared" si="22"/>
        <v/>
      </c>
    </row>
    <row r="340" spans="3:8" x14ac:dyDescent="0.35">
      <c r="C340" s="5" t="str">
        <f t="shared" si="23"/>
        <v/>
      </c>
      <c r="D340" s="1" t="str">
        <f t="shared" si="24"/>
        <v/>
      </c>
      <c r="E340" s="4"/>
      <c r="F340" s="1" t="str">
        <f t="shared" si="20"/>
        <v/>
      </c>
      <c r="G340" s="1" t="str">
        <f t="shared" si="21"/>
        <v/>
      </c>
      <c r="H340" s="1" t="str">
        <f t="shared" si="22"/>
        <v/>
      </c>
    </row>
    <row r="341" spans="3:8" x14ac:dyDescent="0.35">
      <c r="C341" s="5" t="str">
        <f t="shared" si="23"/>
        <v/>
      </c>
      <c r="D341" s="1" t="str">
        <f t="shared" si="24"/>
        <v/>
      </c>
      <c r="E341" s="4"/>
      <c r="F341" s="1" t="str">
        <f t="shared" si="20"/>
        <v/>
      </c>
      <c r="G341" s="1" t="str">
        <f t="shared" si="21"/>
        <v/>
      </c>
      <c r="H341" s="1" t="str">
        <f t="shared" si="22"/>
        <v/>
      </c>
    </row>
    <row r="342" spans="3:8" x14ac:dyDescent="0.35">
      <c r="C342" s="5" t="str">
        <f t="shared" si="23"/>
        <v/>
      </c>
      <c r="D342" s="1" t="str">
        <f t="shared" si="24"/>
        <v/>
      </c>
      <c r="E342" s="4"/>
      <c r="F342" s="1" t="str">
        <f t="shared" ref="F342:F380" si="25">IF(B342="","",H341*$H$8)</f>
        <v/>
      </c>
      <c r="G342" s="1" t="str">
        <f t="shared" ref="G342:G380" si="26">IF(B342="","",D342-F342)</f>
        <v/>
      </c>
      <c r="H342" s="1" t="str">
        <f t="shared" ref="H342:H380" si="27">IF(B342="","",H341-G342-E342)</f>
        <v/>
      </c>
    </row>
    <row r="343" spans="3:8" x14ac:dyDescent="0.35">
      <c r="C343" s="5" t="str">
        <f t="shared" ref="C343:C380" si="28">IF(B343="","",EOMONTH(C342,0)+1)</f>
        <v/>
      </c>
      <c r="D343" s="1" t="str">
        <f t="shared" ref="D343:D380" si="29">IF(B343="","",MIN(H342+F343,$D$15))</f>
        <v/>
      </c>
      <c r="E343" s="4"/>
      <c r="F343" s="1" t="str">
        <f t="shared" si="25"/>
        <v/>
      </c>
      <c r="G343" s="1" t="str">
        <f t="shared" si="26"/>
        <v/>
      </c>
      <c r="H343" s="1" t="str">
        <f t="shared" si="27"/>
        <v/>
      </c>
    </row>
    <row r="344" spans="3:8" x14ac:dyDescent="0.35">
      <c r="C344" s="5" t="str">
        <f t="shared" si="28"/>
        <v/>
      </c>
      <c r="D344" s="1" t="str">
        <f t="shared" si="29"/>
        <v/>
      </c>
      <c r="E344" s="4"/>
      <c r="F344" s="1" t="str">
        <f t="shared" si="25"/>
        <v/>
      </c>
      <c r="G344" s="1" t="str">
        <f t="shared" si="26"/>
        <v/>
      </c>
      <c r="H344" s="1" t="str">
        <f t="shared" si="27"/>
        <v/>
      </c>
    </row>
    <row r="345" spans="3:8" x14ac:dyDescent="0.35">
      <c r="C345" s="5" t="str">
        <f t="shared" si="28"/>
        <v/>
      </c>
      <c r="D345" s="1" t="str">
        <f t="shared" si="29"/>
        <v/>
      </c>
      <c r="E345" s="4"/>
      <c r="F345" s="1" t="str">
        <f t="shared" si="25"/>
        <v/>
      </c>
      <c r="G345" s="1" t="str">
        <f t="shared" si="26"/>
        <v/>
      </c>
      <c r="H345" s="1" t="str">
        <f t="shared" si="27"/>
        <v/>
      </c>
    </row>
    <row r="346" spans="3:8" x14ac:dyDescent="0.35">
      <c r="C346" s="5" t="str">
        <f t="shared" si="28"/>
        <v/>
      </c>
      <c r="D346" s="1" t="str">
        <f t="shared" si="29"/>
        <v/>
      </c>
      <c r="E346" s="4"/>
      <c r="F346" s="1" t="str">
        <f t="shared" si="25"/>
        <v/>
      </c>
      <c r="G346" s="1" t="str">
        <f t="shared" si="26"/>
        <v/>
      </c>
      <c r="H346" s="1" t="str">
        <f t="shared" si="27"/>
        <v/>
      </c>
    </row>
    <row r="347" spans="3:8" x14ac:dyDescent="0.35">
      <c r="C347" s="5" t="str">
        <f t="shared" si="28"/>
        <v/>
      </c>
      <c r="D347" s="1" t="str">
        <f t="shared" si="29"/>
        <v/>
      </c>
      <c r="E347" s="4"/>
      <c r="F347" s="1" t="str">
        <f t="shared" si="25"/>
        <v/>
      </c>
      <c r="G347" s="1" t="str">
        <f t="shared" si="26"/>
        <v/>
      </c>
      <c r="H347" s="1" t="str">
        <f t="shared" si="27"/>
        <v/>
      </c>
    </row>
    <row r="348" spans="3:8" x14ac:dyDescent="0.35">
      <c r="C348" s="5" t="str">
        <f t="shared" si="28"/>
        <v/>
      </c>
      <c r="D348" s="1" t="str">
        <f t="shared" si="29"/>
        <v/>
      </c>
      <c r="E348" s="4"/>
      <c r="F348" s="1" t="str">
        <f t="shared" si="25"/>
        <v/>
      </c>
      <c r="G348" s="1" t="str">
        <f t="shared" si="26"/>
        <v/>
      </c>
      <c r="H348" s="1" t="str">
        <f t="shared" si="27"/>
        <v/>
      </c>
    </row>
    <row r="349" spans="3:8" x14ac:dyDescent="0.35">
      <c r="C349" s="5" t="str">
        <f t="shared" si="28"/>
        <v/>
      </c>
      <c r="D349" s="1" t="str">
        <f t="shared" si="29"/>
        <v/>
      </c>
      <c r="E349" s="4"/>
      <c r="F349" s="1" t="str">
        <f t="shared" si="25"/>
        <v/>
      </c>
      <c r="G349" s="1" t="str">
        <f t="shared" si="26"/>
        <v/>
      </c>
      <c r="H349" s="1" t="str">
        <f t="shared" si="27"/>
        <v/>
      </c>
    </row>
    <row r="350" spans="3:8" x14ac:dyDescent="0.35">
      <c r="C350" s="5" t="str">
        <f t="shared" si="28"/>
        <v/>
      </c>
      <c r="D350" s="1" t="str">
        <f t="shared" si="29"/>
        <v/>
      </c>
      <c r="E350" s="4"/>
      <c r="F350" s="1" t="str">
        <f t="shared" si="25"/>
        <v/>
      </c>
      <c r="G350" s="1" t="str">
        <f t="shared" si="26"/>
        <v/>
      </c>
      <c r="H350" s="1" t="str">
        <f t="shared" si="27"/>
        <v/>
      </c>
    </row>
    <row r="351" spans="3:8" x14ac:dyDescent="0.35">
      <c r="C351" s="5" t="str">
        <f t="shared" si="28"/>
        <v/>
      </c>
      <c r="D351" s="1" t="str">
        <f t="shared" si="29"/>
        <v/>
      </c>
      <c r="E351" s="4"/>
      <c r="F351" s="1" t="str">
        <f t="shared" si="25"/>
        <v/>
      </c>
      <c r="G351" s="1" t="str">
        <f t="shared" si="26"/>
        <v/>
      </c>
      <c r="H351" s="1" t="str">
        <f t="shared" si="27"/>
        <v/>
      </c>
    </row>
    <row r="352" spans="3:8" x14ac:dyDescent="0.35">
      <c r="C352" s="5" t="str">
        <f t="shared" si="28"/>
        <v/>
      </c>
      <c r="D352" s="1" t="str">
        <f t="shared" si="29"/>
        <v/>
      </c>
      <c r="E352" s="4"/>
      <c r="F352" s="1" t="str">
        <f t="shared" si="25"/>
        <v/>
      </c>
      <c r="G352" s="1" t="str">
        <f t="shared" si="26"/>
        <v/>
      </c>
      <c r="H352" s="1" t="str">
        <f t="shared" si="27"/>
        <v/>
      </c>
    </row>
    <row r="353" spans="3:8" x14ac:dyDescent="0.35">
      <c r="C353" s="5" t="str">
        <f t="shared" si="28"/>
        <v/>
      </c>
      <c r="D353" s="1" t="str">
        <f t="shared" si="29"/>
        <v/>
      </c>
      <c r="E353" s="4"/>
      <c r="F353" s="1" t="str">
        <f t="shared" si="25"/>
        <v/>
      </c>
      <c r="G353" s="1" t="str">
        <f t="shared" si="26"/>
        <v/>
      </c>
      <c r="H353" s="1" t="str">
        <f t="shared" si="27"/>
        <v/>
      </c>
    </row>
    <row r="354" spans="3:8" x14ac:dyDescent="0.35">
      <c r="C354" s="5" t="str">
        <f t="shared" si="28"/>
        <v/>
      </c>
      <c r="D354" s="1" t="str">
        <f t="shared" si="29"/>
        <v/>
      </c>
      <c r="E354" s="4"/>
      <c r="F354" s="1" t="str">
        <f t="shared" si="25"/>
        <v/>
      </c>
      <c r="G354" s="1" t="str">
        <f t="shared" si="26"/>
        <v/>
      </c>
      <c r="H354" s="1" t="str">
        <f t="shared" si="27"/>
        <v/>
      </c>
    </row>
    <row r="355" spans="3:8" x14ac:dyDescent="0.35">
      <c r="C355" s="5" t="str">
        <f t="shared" si="28"/>
        <v/>
      </c>
      <c r="D355" s="1" t="str">
        <f t="shared" si="29"/>
        <v/>
      </c>
      <c r="E355" s="4"/>
      <c r="F355" s="1" t="str">
        <f t="shared" si="25"/>
        <v/>
      </c>
      <c r="G355" s="1" t="str">
        <f t="shared" si="26"/>
        <v/>
      </c>
      <c r="H355" s="1" t="str">
        <f t="shared" si="27"/>
        <v/>
      </c>
    </row>
    <row r="356" spans="3:8" x14ac:dyDescent="0.35">
      <c r="C356" s="5" t="str">
        <f t="shared" si="28"/>
        <v/>
      </c>
      <c r="D356" s="1" t="str">
        <f t="shared" si="29"/>
        <v/>
      </c>
      <c r="E356" s="4"/>
      <c r="F356" s="1" t="str">
        <f t="shared" si="25"/>
        <v/>
      </c>
      <c r="G356" s="1" t="str">
        <f t="shared" si="26"/>
        <v/>
      </c>
      <c r="H356" s="1" t="str">
        <f t="shared" si="27"/>
        <v/>
      </c>
    </row>
    <row r="357" spans="3:8" x14ac:dyDescent="0.35">
      <c r="C357" s="5" t="str">
        <f t="shared" si="28"/>
        <v/>
      </c>
      <c r="D357" s="1" t="str">
        <f t="shared" si="29"/>
        <v/>
      </c>
      <c r="E357" s="4"/>
      <c r="F357" s="1" t="str">
        <f t="shared" si="25"/>
        <v/>
      </c>
      <c r="G357" s="1" t="str">
        <f t="shared" si="26"/>
        <v/>
      </c>
      <c r="H357" s="1" t="str">
        <f t="shared" si="27"/>
        <v/>
      </c>
    </row>
    <row r="358" spans="3:8" x14ac:dyDescent="0.35">
      <c r="C358" s="5" t="str">
        <f t="shared" si="28"/>
        <v/>
      </c>
      <c r="D358" s="1" t="str">
        <f t="shared" si="29"/>
        <v/>
      </c>
      <c r="E358" s="4"/>
      <c r="F358" s="1" t="str">
        <f t="shared" si="25"/>
        <v/>
      </c>
      <c r="G358" s="1" t="str">
        <f t="shared" si="26"/>
        <v/>
      </c>
      <c r="H358" s="1" t="str">
        <f t="shared" si="27"/>
        <v/>
      </c>
    </row>
    <row r="359" spans="3:8" x14ac:dyDescent="0.35">
      <c r="C359" s="5" t="str">
        <f t="shared" si="28"/>
        <v/>
      </c>
      <c r="D359" s="1" t="str">
        <f t="shared" si="29"/>
        <v/>
      </c>
      <c r="E359" s="4"/>
      <c r="F359" s="1" t="str">
        <f t="shared" si="25"/>
        <v/>
      </c>
      <c r="G359" s="1" t="str">
        <f t="shared" si="26"/>
        <v/>
      </c>
      <c r="H359" s="1" t="str">
        <f t="shared" si="27"/>
        <v/>
      </c>
    </row>
    <row r="360" spans="3:8" x14ac:dyDescent="0.35">
      <c r="C360" s="5" t="str">
        <f t="shared" si="28"/>
        <v/>
      </c>
      <c r="D360" s="1" t="str">
        <f t="shared" si="29"/>
        <v/>
      </c>
      <c r="E360" s="4"/>
      <c r="F360" s="1" t="str">
        <f t="shared" si="25"/>
        <v/>
      </c>
      <c r="G360" s="1" t="str">
        <f t="shared" si="26"/>
        <v/>
      </c>
      <c r="H360" s="1" t="str">
        <f t="shared" si="27"/>
        <v/>
      </c>
    </row>
    <row r="361" spans="3:8" x14ac:dyDescent="0.35">
      <c r="C361" s="5" t="str">
        <f t="shared" si="28"/>
        <v/>
      </c>
      <c r="D361" s="1" t="str">
        <f t="shared" si="29"/>
        <v/>
      </c>
      <c r="E361" s="4"/>
      <c r="F361" s="1" t="str">
        <f t="shared" si="25"/>
        <v/>
      </c>
      <c r="G361" s="1" t="str">
        <f t="shared" si="26"/>
        <v/>
      </c>
      <c r="H361" s="1" t="str">
        <f t="shared" si="27"/>
        <v/>
      </c>
    </row>
    <row r="362" spans="3:8" x14ac:dyDescent="0.35">
      <c r="C362" s="5" t="str">
        <f t="shared" si="28"/>
        <v/>
      </c>
      <c r="D362" s="1" t="str">
        <f t="shared" si="29"/>
        <v/>
      </c>
      <c r="E362" s="4"/>
      <c r="F362" s="1" t="str">
        <f t="shared" si="25"/>
        <v/>
      </c>
      <c r="G362" s="1" t="str">
        <f t="shared" si="26"/>
        <v/>
      </c>
      <c r="H362" s="1" t="str">
        <f t="shared" si="27"/>
        <v/>
      </c>
    </row>
    <row r="363" spans="3:8" x14ac:dyDescent="0.35">
      <c r="C363" s="5" t="str">
        <f t="shared" si="28"/>
        <v/>
      </c>
      <c r="D363" s="1" t="str">
        <f t="shared" si="29"/>
        <v/>
      </c>
      <c r="E363" s="4"/>
      <c r="F363" s="1" t="str">
        <f t="shared" si="25"/>
        <v/>
      </c>
      <c r="G363" s="1" t="str">
        <f t="shared" si="26"/>
        <v/>
      </c>
      <c r="H363" s="1" t="str">
        <f t="shared" si="27"/>
        <v/>
      </c>
    </row>
    <row r="364" spans="3:8" x14ac:dyDescent="0.35">
      <c r="C364" s="5" t="str">
        <f t="shared" si="28"/>
        <v/>
      </c>
      <c r="D364" s="1" t="str">
        <f t="shared" si="29"/>
        <v/>
      </c>
      <c r="E364" s="4"/>
      <c r="F364" s="1" t="str">
        <f t="shared" si="25"/>
        <v/>
      </c>
      <c r="G364" s="1" t="str">
        <f t="shared" si="26"/>
        <v/>
      </c>
      <c r="H364" s="1" t="str">
        <f t="shared" si="27"/>
        <v/>
      </c>
    </row>
    <row r="365" spans="3:8" x14ac:dyDescent="0.35">
      <c r="C365" s="5" t="str">
        <f t="shared" si="28"/>
        <v/>
      </c>
      <c r="D365" s="1" t="str">
        <f t="shared" si="29"/>
        <v/>
      </c>
      <c r="E365" s="4"/>
      <c r="F365" s="1" t="str">
        <f t="shared" si="25"/>
        <v/>
      </c>
      <c r="G365" s="1" t="str">
        <f t="shared" si="26"/>
        <v/>
      </c>
      <c r="H365" s="1" t="str">
        <f t="shared" si="27"/>
        <v/>
      </c>
    </row>
    <row r="366" spans="3:8" x14ac:dyDescent="0.35">
      <c r="C366" s="5" t="str">
        <f t="shared" si="28"/>
        <v/>
      </c>
      <c r="D366" s="1" t="str">
        <f t="shared" si="29"/>
        <v/>
      </c>
      <c r="E366" s="4"/>
      <c r="F366" s="1" t="str">
        <f t="shared" si="25"/>
        <v/>
      </c>
      <c r="G366" s="1" t="str">
        <f t="shared" si="26"/>
        <v/>
      </c>
      <c r="H366" s="1" t="str">
        <f t="shared" si="27"/>
        <v/>
      </c>
    </row>
    <row r="367" spans="3:8" x14ac:dyDescent="0.35">
      <c r="C367" s="5" t="str">
        <f t="shared" si="28"/>
        <v/>
      </c>
      <c r="D367" s="1" t="str">
        <f t="shared" si="29"/>
        <v/>
      </c>
      <c r="E367" s="4"/>
      <c r="F367" s="1" t="str">
        <f t="shared" si="25"/>
        <v/>
      </c>
      <c r="G367" s="1" t="str">
        <f t="shared" si="26"/>
        <v/>
      </c>
      <c r="H367" s="1" t="str">
        <f t="shared" si="27"/>
        <v/>
      </c>
    </row>
    <row r="368" spans="3:8" x14ac:dyDescent="0.35">
      <c r="C368" s="5" t="str">
        <f t="shared" si="28"/>
        <v/>
      </c>
      <c r="D368" s="1" t="str">
        <f t="shared" si="29"/>
        <v/>
      </c>
      <c r="E368" s="4"/>
      <c r="F368" s="1" t="str">
        <f t="shared" si="25"/>
        <v/>
      </c>
      <c r="G368" s="1" t="str">
        <f t="shared" si="26"/>
        <v/>
      </c>
      <c r="H368" s="1" t="str">
        <f t="shared" si="27"/>
        <v/>
      </c>
    </row>
    <row r="369" spans="3:8" x14ac:dyDescent="0.35">
      <c r="C369" s="5" t="str">
        <f t="shared" si="28"/>
        <v/>
      </c>
      <c r="D369" s="1" t="str">
        <f t="shared" si="29"/>
        <v/>
      </c>
      <c r="E369" s="4"/>
      <c r="F369" s="1" t="str">
        <f t="shared" si="25"/>
        <v/>
      </c>
      <c r="G369" s="1" t="str">
        <f t="shared" si="26"/>
        <v/>
      </c>
      <c r="H369" s="1" t="str">
        <f t="shared" si="27"/>
        <v/>
      </c>
    </row>
    <row r="370" spans="3:8" x14ac:dyDescent="0.35">
      <c r="C370" s="5" t="str">
        <f t="shared" si="28"/>
        <v/>
      </c>
      <c r="D370" s="1" t="str">
        <f t="shared" si="29"/>
        <v/>
      </c>
      <c r="E370" s="4"/>
      <c r="F370" s="1" t="str">
        <f t="shared" si="25"/>
        <v/>
      </c>
      <c r="G370" s="1" t="str">
        <f t="shared" si="26"/>
        <v/>
      </c>
      <c r="H370" s="1" t="str">
        <f t="shared" si="27"/>
        <v/>
      </c>
    </row>
    <row r="371" spans="3:8" x14ac:dyDescent="0.35">
      <c r="C371" s="5" t="str">
        <f t="shared" si="28"/>
        <v/>
      </c>
      <c r="D371" s="1" t="str">
        <f t="shared" si="29"/>
        <v/>
      </c>
      <c r="E371" s="4"/>
      <c r="F371" s="1" t="str">
        <f t="shared" si="25"/>
        <v/>
      </c>
      <c r="G371" s="1" t="str">
        <f t="shared" si="26"/>
        <v/>
      </c>
      <c r="H371" s="1" t="str">
        <f t="shared" si="27"/>
        <v/>
      </c>
    </row>
    <row r="372" spans="3:8" x14ac:dyDescent="0.35">
      <c r="C372" s="5" t="str">
        <f t="shared" si="28"/>
        <v/>
      </c>
      <c r="D372" s="1" t="str">
        <f t="shared" si="29"/>
        <v/>
      </c>
      <c r="E372" s="4"/>
      <c r="F372" s="1" t="str">
        <f t="shared" si="25"/>
        <v/>
      </c>
      <c r="G372" s="1" t="str">
        <f t="shared" si="26"/>
        <v/>
      </c>
      <c r="H372" s="1" t="str">
        <f t="shared" si="27"/>
        <v/>
      </c>
    </row>
    <row r="373" spans="3:8" x14ac:dyDescent="0.35">
      <c r="C373" s="5" t="str">
        <f t="shared" si="28"/>
        <v/>
      </c>
      <c r="D373" s="1" t="str">
        <f t="shared" si="29"/>
        <v/>
      </c>
      <c r="E373" s="4"/>
      <c r="F373" s="1" t="str">
        <f t="shared" si="25"/>
        <v/>
      </c>
      <c r="G373" s="1" t="str">
        <f t="shared" si="26"/>
        <v/>
      </c>
      <c r="H373" s="1" t="str">
        <f t="shared" si="27"/>
        <v/>
      </c>
    </row>
    <row r="374" spans="3:8" x14ac:dyDescent="0.35">
      <c r="C374" s="5" t="str">
        <f t="shared" si="28"/>
        <v/>
      </c>
      <c r="D374" s="1" t="str">
        <f t="shared" si="29"/>
        <v/>
      </c>
      <c r="E374" s="4"/>
      <c r="F374" s="1" t="str">
        <f t="shared" si="25"/>
        <v/>
      </c>
      <c r="G374" s="1" t="str">
        <f t="shared" si="26"/>
        <v/>
      </c>
      <c r="H374" s="1" t="str">
        <f t="shared" si="27"/>
        <v/>
      </c>
    </row>
    <row r="375" spans="3:8" x14ac:dyDescent="0.35">
      <c r="C375" s="5" t="str">
        <f t="shared" si="28"/>
        <v/>
      </c>
      <c r="D375" s="1" t="str">
        <f t="shared" si="29"/>
        <v/>
      </c>
      <c r="E375" s="4"/>
      <c r="F375" s="1" t="str">
        <f t="shared" si="25"/>
        <v/>
      </c>
      <c r="G375" s="1" t="str">
        <f t="shared" si="26"/>
        <v/>
      </c>
      <c r="H375" s="1" t="str">
        <f t="shared" si="27"/>
        <v/>
      </c>
    </row>
    <row r="376" spans="3:8" x14ac:dyDescent="0.35">
      <c r="C376" s="5" t="str">
        <f t="shared" si="28"/>
        <v/>
      </c>
      <c r="D376" s="1" t="str">
        <f t="shared" si="29"/>
        <v/>
      </c>
      <c r="E376" s="4"/>
      <c r="F376" s="1" t="str">
        <f t="shared" si="25"/>
        <v/>
      </c>
      <c r="G376" s="1" t="str">
        <f t="shared" si="26"/>
        <v/>
      </c>
      <c r="H376" s="1" t="str">
        <f t="shared" si="27"/>
        <v/>
      </c>
    </row>
    <row r="377" spans="3:8" x14ac:dyDescent="0.35">
      <c r="C377" s="5" t="str">
        <f t="shared" si="28"/>
        <v/>
      </c>
      <c r="D377" s="1" t="str">
        <f t="shared" si="29"/>
        <v/>
      </c>
      <c r="E377" s="4"/>
      <c r="F377" s="1" t="str">
        <f t="shared" si="25"/>
        <v/>
      </c>
      <c r="G377" s="1" t="str">
        <f t="shared" si="26"/>
        <v/>
      </c>
      <c r="H377" s="1" t="str">
        <f t="shared" si="27"/>
        <v/>
      </c>
    </row>
    <row r="378" spans="3:8" x14ac:dyDescent="0.35">
      <c r="C378" s="5" t="str">
        <f t="shared" si="28"/>
        <v/>
      </c>
      <c r="D378" s="1" t="str">
        <f t="shared" si="29"/>
        <v/>
      </c>
      <c r="E378" s="4"/>
      <c r="F378" s="1" t="str">
        <f t="shared" si="25"/>
        <v/>
      </c>
      <c r="G378" s="1" t="str">
        <f t="shared" si="26"/>
        <v/>
      </c>
      <c r="H378" s="1" t="str">
        <f t="shared" si="27"/>
        <v/>
      </c>
    </row>
    <row r="379" spans="3:8" x14ac:dyDescent="0.35">
      <c r="C379" s="5" t="str">
        <f t="shared" si="28"/>
        <v/>
      </c>
      <c r="D379" s="1" t="str">
        <f t="shared" si="29"/>
        <v/>
      </c>
      <c r="E379" s="4"/>
      <c r="F379" s="1" t="str">
        <f t="shared" si="25"/>
        <v/>
      </c>
      <c r="G379" s="1" t="str">
        <f t="shared" si="26"/>
        <v/>
      </c>
      <c r="H379" s="1" t="str">
        <f t="shared" si="27"/>
        <v/>
      </c>
    </row>
    <row r="380" spans="3:8" x14ac:dyDescent="0.35">
      <c r="C380" s="5" t="str">
        <f t="shared" si="28"/>
        <v/>
      </c>
      <c r="D380" s="1" t="str">
        <f t="shared" si="29"/>
        <v/>
      </c>
      <c r="E380" s="4"/>
      <c r="F380" s="1" t="str">
        <f t="shared" si="25"/>
        <v/>
      </c>
      <c r="G380" s="1" t="str">
        <f t="shared" si="26"/>
        <v/>
      </c>
      <c r="H380" s="1" t="str">
        <f t="shared" si="27"/>
        <v/>
      </c>
    </row>
  </sheetData>
  <mergeCells count="13">
    <mergeCell ref="B17:C17"/>
    <mergeCell ref="B11:C11"/>
    <mergeCell ref="B8:C8"/>
    <mergeCell ref="B9:C9"/>
    <mergeCell ref="B10:C10"/>
    <mergeCell ref="B12:C12"/>
    <mergeCell ref="B13:C13"/>
    <mergeCell ref="G6:H6"/>
    <mergeCell ref="B2:H4"/>
    <mergeCell ref="B6:D6"/>
    <mergeCell ref="B14:C14"/>
    <mergeCell ref="B15:C15"/>
    <mergeCell ref="B7:D7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Flat Interest Rate</vt:lpstr>
      <vt:lpstr>Reducing Interest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manzoor sohail</cp:lastModifiedBy>
  <cp:lastPrinted>2024-10-03T05:04:41Z</cp:lastPrinted>
  <dcterms:created xsi:type="dcterms:W3CDTF">2024-04-03T05:06:17Z</dcterms:created>
  <dcterms:modified xsi:type="dcterms:W3CDTF">2024-10-03T05:16:21Z</dcterms:modified>
</cp:coreProperties>
</file>